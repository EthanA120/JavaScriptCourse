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9200" windowHeight="6960" activeTab="1"/>
  </bookViews>
  <sheets>
    <sheet name="עוגני קריירה" sheetId="1" r:id="rId1"/>
    <sheet name="סיכום" sheetId="2" r:id="rId2"/>
    <sheet name="חישוב ביניים" sheetId="4" state="hidden" r:id="rId3"/>
  </sheets>
  <definedNames>
    <definedName name="_xlnm.Print_Area" localSheetId="1">סיכום!$A$3:$S$15</definedName>
    <definedName name="_xlnm.Print_Area" localSheetId="0">'עוגני קריירה'!$A$2:$N$55</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2" i="2" l="1"/>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3" i="4"/>
  <c r="C4" i="4"/>
  <c r="C5" i="4"/>
  <c r="C6" i="4"/>
  <c r="E6" i="4" s="1"/>
  <c r="J7" i="2" s="1"/>
  <c r="C7" i="4"/>
  <c r="C8" i="4"/>
  <c r="E8" i="4" s="1"/>
  <c r="N7" i="2" s="1"/>
  <c r="C9" i="4"/>
  <c r="E9" i="4" s="1"/>
  <c r="P7" i="2" s="1"/>
  <c r="C10" i="4"/>
  <c r="E10" i="4" s="1"/>
  <c r="R7" i="2" s="1"/>
  <c r="C11" i="4"/>
  <c r="E11" i="4" s="1"/>
  <c r="D8" i="2" s="1"/>
  <c r="C12" i="4"/>
  <c r="C13" i="4"/>
  <c r="E13" i="4" s="1"/>
  <c r="H8" i="2" s="1"/>
  <c r="C14" i="4"/>
  <c r="C15" i="4"/>
  <c r="C16" i="4"/>
  <c r="C17" i="4"/>
  <c r="E17" i="4" s="1"/>
  <c r="P8" i="2" s="1"/>
  <c r="C18" i="4"/>
  <c r="E18" i="4" s="1"/>
  <c r="R8" i="2" s="1"/>
  <c r="C19" i="4"/>
  <c r="E19" i="4" s="1"/>
  <c r="D9" i="2" s="1"/>
  <c r="C20" i="4"/>
  <c r="E20" i="4" s="1"/>
  <c r="F9" i="2" s="1"/>
  <c r="C21" i="4"/>
  <c r="E21" i="4" s="1"/>
  <c r="H9" i="2" s="1"/>
  <c r="C22" i="4"/>
  <c r="E22" i="4" s="1"/>
  <c r="J9" i="2" s="1"/>
  <c r="C23" i="4"/>
  <c r="C24" i="4"/>
  <c r="E24" i="4" s="1"/>
  <c r="N9" i="2" s="1"/>
  <c r="C25" i="4"/>
  <c r="E25" i="4" s="1"/>
  <c r="P9" i="2" s="1"/>
  <c r="C26" i="4"/>
  <c r="C27" i="4"/>
  <c r="E27" i="4" s="1"/>
  <c r="D10" i="2" s="1"/>
  <c r="C28" i="4"/>
  <c r="C29" i="4"/>
  <c r="E29" i="4" s="1"/>
  <c r="H10" i="2" s="1"/>
  <c r="C30" i="4"/>
  <c r="E30" i="4" s="1"/>
  <c r="J10" i="2" s="1"/>
  <c r="C31" i="4"/>
  <c r="E31" i="4" s="1"/>
  <c r="L10" i="2" s="1"/>
  <c r="C32" i="4"/>
  <c r="C33" i="4"/>
  <c r="E33" i="4" s="1"/>
  <c r="P10" i="2" s="1"/>
  <c r="C34" i="4"/>
  <c r="E34" i="4" s="1"/>
  <c r="R10" i="2" s="1"/>
  <c r="C35" i="4"/>
  <c r="C36" i="4"/>
  <c r="E36" i="4" s="1"/>
  <c r="F11" i="2" s="1"/>
  <c r="C37" i="4"/>
  <c r="E37" i="4" s="1"/>
  <c r="H11" i="2" s="1"/>
  <c r="C38" i="4"/>
  <c r="E38" i="4" s="1"/>
  <c r="J11" i="2" s="1"/>
  <c r="C39" i="4"/>
  <c r="C40" i="4"/>
  <c r="E40" i="4" s="1"/>
  <c r="N11" i="2" s="1"/>
  <c r="C41" i="4"/>
  <c r="C42" i="4"/>
  <c r="E42" i="4" s="1"/>
  <c r="R11" i="2" s="1"/>
  <c r="C3" i="4"/>
  <c r="E39" i="4" l="1"/>
  <c r="L11" i="2" s="1"/>
  <c r="E26" i="4"/>
  <c r="R9" i="2" s="1"/>
  <c r="E32" i="4"/>
  <c r="N10" i="2" s="1"/>
  <c r="E35" i="4"/>
  <c r="D11" i="2" s="1"/>
  <c r="E12" i="4"/>
  <c r="F8" i="2" s="1"/>
  <c r="E4" i="4"/>
  <c r="F7" i="2" s="1"/>
  <c r="E23" i="4"/>
  <c r="L9" i="2" s="1"/>
  <c r="E41" i="4"/>
  <c r="P11" i="2" s="1"/>
  <c r="P12" i="2" s="1"/>
  <c r="P13" i="2" s="1"/>
  <c r="E3" i="4"/>
  <c r="D7" i="2" s="1"/>
  <c r="D12" i="2" s="1"/>
  <c r="D13" i="2" s="1"/>
  <c r="E16" i="4"/>
  <c r="N8" i="2" s="1"/>
  <c r="N12" i="2" s="1"/>
  <c r="N13" i="2" s="1"/>
  <c r="E15" i="4"/>
  <c r="L8" i="2" s="1"/>
  <c r="E14" i="4"/>
  <c r="J8" i="2" s="1"/>
  <c r="J12" i="2" s="1"/>
  <c r="J13" i="2" s="1"/>
  <c r="E7" i="4"/>
  <c r="L7" i="2" s="1"/>
  <c r="E5" i="4"/>
  <c r="H7" i="2" s="1"/>
  <c r="H12" i="2" s="1"/>
  <c r="H13" i="2" s="1"/>
  <c r="R12" i="2"/>
  <c r="R13" i="2" s="1"/>
  <c r="E28" i="4"/>
  <c r="F10" i="2" s="1"/>
  <c r="F12" i="2" l="1"/>
  <c r="F13" i="2" s="1"/>
  <c r="L12" i="2"/>
  <c r="L13" i="2" s="1"/>
</calcChain>
</file>

<file path=xl/sharedStrings.xml><?xml version="1.0" encoding="utf-8"?>
<sst xmlns="http://schemas.openxmlformats.org/spreadsheetml/2006/main" count="191" uniqueCount="147">
  <si>
    <t>מצאי אוריינטציות בקריירה</t>
  </si>
  <si>
    <t>נכון במידה בינונית</t>
  </si>
  <si>
    <t>לא נכון בכלל</t>
  </si>
  <si>
    <t>אני רוצה להגיע לדרגת מומחיות כה גבוהה שעצותיי יהיו תמיד מצרך מבוקש ביותר</t>
  </si>
  <si>
    <t>אני חש שאני מממש את עצמי בעבודה כאשר אני מצליח לנהל אחרים ואת עבודתם</t>
  </si>
  <si>
    <t>אני חולם על קריירה שתאפשר לי יד חופשית ואוטונומיה במילוי תפקידי השונים.</t>
  </si>
  <si>
    <t>קביעות ויציבות חשובים לי יותר מאשר חופש ועצמאות</t>
  </si>
  <si>
    <t>אני מחפש תמיד רעיונות שיאפשרו לי לבנות עסק משלי</t>
  </si>
  <si>
    <t>אחוש הצלחה בקריירה רק אם ארגיש שתרמתי משהו משמעותי לרווחת החברה בה אני חי</t>
  </si>
  <si>
    <t>אני חולם על קריירה שתאפשר לי לפתור בהצלחה בעיות במצבים מורכבים במיוחד</t>
  </si>
  <si>
    <t>אבחר לעזוב את הארגון, אם יציבו אותי בתפקיד שיצמצם את יכולתי להתמיד בפעילויות משפחה ופנאי</t>
  </si>
  <si>
    <t>אחוש הצלחה בקריירה, רק אם יתאפשר לי לפתח את כישורי המקצועיים לרמה גבוהה ביותר</t>
  </si>
  <si>
    <t>הייתי רוצה לנהל ארגון גדול ומורכב ולקבל החלטות שישפיעו על אנשים רבים</t>
  </si>
  <si>
    <t>אני חש שהגעתי למימוש עצמי, בעיקר כאשר מתאפשר לי להגדיר את המטלות, לוח הזמנים והמהלכים במסגרת תפקידי.</t>
  </si>
  <si>
    <t>אבחר לעזוב את הארגון, אם אקבל תפקיד שיסכן את הסיכוי שלי לקביעות בארגון.</t>
  </si>
  <si>
    <t>הקמת עסק משלי חשובה לי יותר מתפקיד ניהולי בכיר בארגון השייך לאחרים</t>
  </si>
  <si>
    <t>אני חש שהגעתי למימוש עצמי בקריירה, כאשר מתאפשר לי לתרום מכישורי לטובת אחרים.</t>
  </si>
  <si>
    <t>אחוש הצלחה בקריירה, אם אתמודד בהצלחה עם אתגרים קשים ואצליח להתגבר עליהם</t>
  </si>
  <si>
    <t>אני חולם על קריירה שתאפשר לי לשלב את צרכיי האישיים, צרכי המשפחה וצרכי עבודה</t>
  </si>
  <si>
    <t>מושך אותי יותר למלא תפקיד מקצועי בכיר בתחום התמחותי מאשר תפקיד מנכ"ל</t>
  </si>
  <si>
    <t>אחוש הצלחה בקריירה, רק אם אהיה מנכ"ל בארגון</t>
  </si>
  <si>
    <t>אחוש הצלחה בקריירה, רק אם יהיו לי חופש ועצמאות מלאים</t>
  </si>
  <si>
    <t>אני מעוניין בתפקידים בארגונים שיתנו לי הרגשת יציבות, קביעות ובטחון</t>
  </si>
  <si>
    <t>אני חש שהגעתי למימוש עצמי, בעיקר כאשר מתאפשר לי לבנות משהו, שהוא כולו תוצאה של רעיונות ומאמצים שלי</t>
  </si>
  <si>
    <t>חשוב לי יותר להשתמש בכישורי על מנת להפוך את העולם למקום שטוב יותר לחיות ולעבוד בו, מאשר להשיג תפקיד ניהולי בכיר.</t>
  </si>
  <si>
    <t>אני חש שהגעתי למימוש עצמי, בעקר כאשר אני פותר בעיות שנראו לא פתורות או חסרות סיכויים</t>
  </si>
  <si>
    <t>אחוש הצלחה בחיי, רק אם אהיה מסוגל לאזן בין צרכי האישיים, צרכי המשפחה וצרכי הקריירה שלי</t>
  </si>
  <si>
    <t>אעדיף לעזוב את הארגון אם יציבו אותי לתפקיד שאינו בתחום ההתמחות שלי</t>
  </si>
  <si>
    <t>מושך אותי יותר תפקיד מנכ"ל מאשר תפקיד ניהולי בכיר בתחום ההתמחות המקצועי שלי</t>
  </si>
  <si>
    <t>האפשרות למלא תפקיד בדרכי, ללא נהלים ומגבלות חשובה לי יותר מביטחון תעסוקתי</t>
  </si>
  <si>
    <t>אני חש שהגעתי למימוש עצמי, בעיקר כאשר אני משיג בטחון כלכלי ותעסוקתי</t>
  </si>
  <si>
    <t>אחוש הצלחה בקריירה, רק אם אצליח ליצור או לבנות משהו שהוא כולו רעיון שלי ומוצר שלי</t>
  </si>
  <si>
    <t>אני חולם על קריירה שתהיה בה תרומה ממשית לחברה ולאנושות</t>
  </si>
  <si>
    <t>אני מחפש בעבודה הזדמנויות לבטא את כישורי התחרותיים ו/או יכולתי לפתור בעיות</t>
  </si>
  <si>
    <t>חשוב לי יותר האיזון בין דרישות מחיי העבודה ודרישות מחיי האישיים לעומת הסיכוי להשיג תפקיד ניהולי בכיר</t>
  </si>
  <si>
    <t>אני חש שהגעתי למימוש עצמי, בעקר כאשר אני משתמש ביכולתי וכישורי המיוחדים</t>
  </si>
  <si>
    <t>אבחר לעזוב את הארגון, אם לא יהיה לי סיכוי להתקדם במסלול הניהול הכללי</t>
  </si>
  <si>
    <t>אעדיף לעזוב את הארגון שלי, אם אוצב לתפקיד שיקטין את העצמאות וחופש הפעולה שלי</t>
  </si>
  <si>
    <t>אני חולם על קריירה שתאפשר לי תחושת בטחון ויציבות</t>
  </si>
  <si>
    <t>אני חולם על הקמת עסק משלי</t>
  </si>
  <si>
    <t>אעדיף לעזוב את הארגון, אם אוצב לתפקיד שיקטין את יכולתי להעניק שרות לאחרים</t>
  </si>
  <si>
    <t>התמודדות עם פתרון בעיות מורכבות במיוחד, חשוב לי יותר מתפקיד ניהולי בכיר</t>
  </si>
  <si>
    <t>תמיד חיפשתי הזדמנויות עבודה, שיקטינו את ההפרעה לחיי האישיים ולחיי המשפחה</t>
  </si>
  <si>
    <t>נכון 
לחלוטין</t>
  </si>
  <si>
    <t>נכון ביותר לגבי</t>
  </si>
  <si>
    <t>שלב א'</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</si>
  <si>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</si>
  <si>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</si>
  <si>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</si>
  <si>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</si>
  <si>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</si>
  <si>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</si>
  <si>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</si>
  <si>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</si>
  <si>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</si>
  <si>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</si>
  <si>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</si>
  <si>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</si>
  <si>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</si>
  <si>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</si>
  <si>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</si>
  <si>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</si>
  <si>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</si>
  <si>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</si>
  <si>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</si>
  <si>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</si>
  <si>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</si>
  <si>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</si>
  <si>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</si>
  <si>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</si>
  <si>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</si>
  <si>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</si>
  <si>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</si>
  <si>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</si>
  <si>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</si>
  <si>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</si>
  <si>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</si>
  <si>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</si>
  <si>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</si>
  <si>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</si>
  <si>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</si>
  <si>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</si>
  <si>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</si>
  <si>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</si>
  <si>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</si>
  <si>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</si>
  <si>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TF</t>
  </si>
  <si>
    <t>GM</t>
  </si>
  <si>
    <t>AU</t>
  </si>
  <si>
    <t>SE</t>
  </si>
  <si>
    <t>EC</t>
  </si>
  <si>
    <t>SV</t>
  </si>
  <si>
    <t>CH</t>
  </si>
  <si>
    <t>LS</t>
  </si>
  <si>
    <t>סה"כ</t>
  </si>
  <si>
    <t>ממוצע</t>
  </si>
  <si>
    <t>ציון ראשון</t>
  </si>
  <si>
    <t>תוספת</t>
  </si>
  <si>
    <t>ציון משוקלל</t>
  </si>
  <si>
    <t>משפט</t>
  </si>
  <si>
    <t>3</t>
  </si>
  <si>
    <t>4</t>
  </si>
  <si>
    <t>5</t>
  </si>
  <si>
    <t>6</t>
  </si>
  <si>
    <t>7</t>
  </si>
  <si>
    <t>8</t>
  </si>
  <si>
    <t>9</t>
  </si>
  <si>
    <t>10</t>
  </si>
  <si>
    <t>11</t>
  </si>
  <si>
    <t>12</t>
  </si>
  <si>
    <t>13</t>
  </si>
  <si>
    <t>14</t>
  </si>
  <si>
    <t>15</t>
  </si>
  <si>
    <t>16</t>
  </si>
  <si>
    <t>17</t>
  </si>
  <si>
    <t>18</t>
  </si>
  <si>
    <t>19</t>
  </si>
  <si>
    <t>20</t>
  </si>
  <si>
    <t>21</t>
  </si>
  <si>
    <t>1</t>
  </si>
  <si>
    <t>2</t>
  </si>
  <si>
    <t>22</t>
  </si>
  <si>
    <t>23</t>
  </si>
  <si>
    <t>24</t>
  </si>
  <si>
    <t>25</t>
  </si>
  <si>
    <t>26</t>
  </si>
  <si>
    <t>27</t>
  </si>
  <si>
    <t>28</t>
  </si>
  <si>
    <t>29</t>
  </si>
  <si>
    <t>30</t>
  </si>
  <si>
    <t>31</t>
  </si>
  <si>
    <t>32</t>
  </si>
  <si>
    <t>33</t>
  </si>
  <si>
    <t>34</t>
  </si>
  <si>
    <t>35</t>
  </si>
  <si>
    <t>36</t>
  </si>
  <si>
    <t>37</t>
  </si>
  <si>
    <t>38</t>
  </si>
  <si>
    <t>39</t>
  </si>
  <si>
    <t>40</t>
  </si>
  <si>
    <t>שם:</t>
  </si>
  <si>
    <t>סיימת את מילוי השאלון.</t>
  </si>
  <si>
    <r>
      <rPr>
        <b/>
        <sz val="11"/>
        <color theme="1"/>
        <rFont val="Arial"/>
        <family val="2"/>
        <scheme val="minor"/>
      </rPr>
      <t>הנחיות לעיבוד שאלון אוריינטצית הקריירה - אדגר שיין</t>
    </r>
    <r>
      <rPr>
        <sz val="11"/>
        <color theme="1"/>
        <rFont val="Arial"/>
        <family val="2"/>
        <scheme val="minor"/>
      </rPr>
      <t>:
1.	הציונים המתקבלים משקפים את היררכיית הצרכים והערכים האישית שלי בקריירה מהגבוה לנמוך.  במילים אחרות מה מאוד חשוב לי לממש בקריירה כאשר הממוצע לעוגן נע בין 4-8.4 וממה עדיף שאמנע – כאשר הממוצע לעוגן הקריירה הוא בין 1-2.
2.	כדאי להתייחס לשניים עד שלושת העוגנים הגבוהים ביותר ולוודא שהם כלולים בתפקידים אותם אתם בוחרים כך תחושו שאתם מממשים את עצמכם, תחושו סיפוק וסקרנות להתמיד בעיסוק. 
כמו כן, כדאי להמנע מאלו שקיבלתם בהם ציונים נמוכים מאוד – אם הם יהיו דומיננטיים בתפקיד תחושו קושי, חוסר סיפוק ואי הצלחה לאורך זמן.
* להעמקת הניתוח והמסקנות מומלץ לפנות ליועץ האישי שלך.</t>
    </r>
  </si>
  <si>
    <t>מודל עוגני קריירה – איפיון 8 העוגנים:</t>
  </si>
  <si>
    <t>שלב א': עד כמה נכון כל אחד מהמשפטים הבאים לגביך? סמן את המספר המתאים משמאלו של כל משפט!</t>
  </si>
  <si>
    <t>שלב ב': הבט על המספרים שציינת ליד המשפטים השונים. זהה את המשפטים שקיבלו את המספר הגבוה ביותר. 
בחר מתוכם שלושה משפטים שהנם הנכונים ביותר לגביך וסמן אותם בעמודה המיועדת לכך בצד שמאל.</t>
  </si>
  <si>
    <t>שלב 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</si>
</sst>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Arial"/>
      <family val="2"/>
      <scheme val="minor"/>
    </font>
    <font>
      <b/>
      <sz val="11"/>
      <color theme="1"/>
      <name val="Arial"/>
      <family val="2"/>
      <scheme val="minor"/>
    </font>
    <font>
      <b/>
      <sz val="16"/>
      <color theme="1"/>
      <name val="Arial"/>
      <family val="2"/>
      <scheme val="minor"/>
    </font>
    <font>
      <b/>
      <sz val="14"/>
      <color theme="1"/>
      <name val="Times New Roman"/>
      <family val="1"/>
    </font>
    <font>
      <sz val="12"/>
      <color theme="1"/>
      <name val="David"/>
      <family val="2"/>
      <charset val="177"/>
    </font>
    <font>
      <b/>
      <sz val="18"/>
      <color theme="1"/>
      <name val="Arial"/>
      <family val="2"/>
      <scheme val="minor"/>
    </font>
    <font>
      <u/>
      <sz val="11"/>
      <color theme="1"/>
      <name val="Arial"/>
      <family val="2"/>
      <scheme val="minor"/>
    </font>
    <font>
      <b/>
      <sz val="11"/>
      <color theme="0"/>
      <name val="Arial"/>
      <family val="2"/>
      <scheme val="minor"/>
    </font>
    <font>
      <b/>
      <u/>
      <sz val="12"/>
      <color theme="1"/>
      <name val="Arial"/>
      <family val="2"/>
      <scheme val="minor"/>
    </font>
    <font>
      <u/>
      <sz val="12"/>
      <color theme="1"/>
      <name val="Arial"/>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rgb="FF6D40A7"/>
        <bgColor indexed="64"/>
      </patternFill>
    </fill>
    <fill>
      <patternFill patternType="solid">
        <fgColor rgb="FFE2D8F0"/>
        <bgColor indexed="64"/>
      </patternFill>
    </fill>
    <fill>
      <patternFill patternType="solid">
        <fgColor theme="0" tint="-0.499984740745262"/>
        <bgColor indexed="64"/>
      </patternFill>
    </fill>
    <fill>
      <patternFill patternType="solid">
        <fgColor rgb="FF92D050"/>
        <bgColor indexed="64"/>
      </patternFill>
    </fill>
    <fill>
      <patternFill patternType="solid">
        <fgColor rgb="FF00B05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right/>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7">
    <xf numFmtId="0" fontId="0" fillId="0" borderId="0" xfId="0"/>
    <xf numFmtId="0" fontId="1" fillId="0" borderId="0" xfId="0" applyFont="1" applyAlignment="1">
      <alignment horizontal="center"/>
    </xf>
    <xf numFmtId="0" fontId="1" fillId="0" borderId="0" xfId="0" applyFont="1" applyAlignment="1">
      <alignment horizontal="right" readingOrder="2"/>
    </xf>
    <xf numFmtId="49" fontId="0" fillId="0" borderId="0" xfId="0" applyNumberFormat="1" applyAlignment="1">
      <alignment horizontal="right"/>
    </xf>
    <xf numFmtId="0" fontId="0" fillId="0" borderId="1" xfId="0" applyBorder="1"/>
    <xf numFmtId="0" fontId="4" fillId="0" borderId="0" xfId="0" applyFont="1" applyAlignment="1">
      <alignment horizontal="center" vertical="top" wrapText="1" readingOrder="2"/>
    </xf>
    <xf numFmtId="0" fontId="0" fillId="0" borderId="0" xfId="0" applyAlignment="1">
      <alignment horizontal="center"/>
    </xf>
    <xf numFmtId="0" fontId="4" fillId="0" borderId="5" xfId="0" applyFont="1" applyBorder="1" applyAlignment="1">
      <alignment horizontal="center" vertical="top" wrapText="1" readingOrder="2"/>
    </xf>
    <xf numFmtId="0" fontId="0" fillId="0" borderId="6" xfId="0" applyBorder="1" applyAlignment="1">
      <alignment horizontal="center"/>
    </xf>
    <xf numFmtId="0" fontId="4" fillId="0" borderId="7" xfId="0" applyFont="1" applyBorder="1" applyAlignment="1">
      <alignment horizontal="center" vertical="top" wrapText="1" readingOrder="2"/>
    </xf>
    <xf numFmtId="0" fontId="0" fillId="0" borderId="5" xfId="0" applyBorder="1" applyAlignment="1">
      <alignment horizontal="center"/>
    </xf>
    <xf numFmtId="0" fontId="0" fillId="0" borderId="8" xfId="0" applyBorder="1" applyAlignment="1">
      <alignment horizontal="center"/>
    </xf>
    <xf numFmtId="0" fontId="4" fillId="2" borderId="5" xfId="0" applyFont="1" applyFill="1" applyBorder="1" applyAlignment="1">
      <alignment horizontal="center" vertical="top" wrapText="1" readingOrder="2"/>
    </xf>
    <xf numFmtId="0" fontId="0" fillId="2" borderId="6" xfId="0" applyFill="1" applyBorder="1" applyAlignment="1">
      <alignment horizontal="center"/>
    </xf>
    <xf numFmtId="0" fontId="4" fillId="2" borderId="7" xfId="0" applyFont="1" applyFill="1" applyBorder="1" applyAlignment="1">
      <alignment horizontal="center" vertical="top" wrapText="1" readingOrder="2"/>
    </xf>
    <xf numFmtId="0" fontId="0" fillId="2" borderId="5" xfId="0" applyFill="1" applyBorder="1" applyAlignment="1">
      <alignment horizontal="center"/>
    </xf>
    <xf numFmtId="0" fontId="0" fillId="2" borderId="8" xfId="0" applyFill="1" applyBorder="1" applyAlignment="1">
      <alignment horizontal="center"/>
    </xf>
    <xf numFmtId="0" fontId="0" fillId="2" borderId="10" xfId="0" applyFill="1" applyBorder="1" applyAlignment="1">
      <alignment horizontal="center"/>
    </xf>
    <xf numFmtId="0" fontId="0" fillId="2" borderId="5" xfId="0" applyFill="1" applyBorder="1"/>
    <xf numFmtId="0" fontId="0" fillId="2" borderId="8" xfId="0" applyFill="1" applyBorder="1"/>
    <xf numFmtId="49" fontId="0" fillId="0" borderId="1" xfId="0" applyNumberFormat="1" applyBorder="1" applyAlignment="1">
      <alignment horizontal="right"/>
    </xf>
    <xf numFmtId="0" fontId="1" fillId="2" borderId="1" xfId="0" applyFont="1" applyFill="1" applyBorder="1"/>
    <xf numFmtId="0" fontId="1" fillId="0" borderId="0" xfId="0" applyFont="1" applyAlignment="1">
      <alignment horizontal="center" wrapText="1" readingOrder="2"/>
    </xf>
    <xf numFmtId="0" fontId="1" fillId="0" borderId="2" xfId="0" applyFont="1" applyBorder="1" applyAlignment="1">
      <alignment horizontal="right"/>
    </xf>
    <xf numFmtId="0" fontId="2" fillId="0" borderId="0" xfId="0" applyFont="1" applyAlignment="1">
      <alignment horizontal="center" vertical="center"/>
    </xf>
    <xf numFmtId="0" fontId="5" fillId="0" borderId="0" xfId="0" applyFont="1" applyAlignment="1">
      <alignment vertical="center"/>
    </xf>
    <xf numFmtId="0" fontId="0" fillId="0" borderId="11" xfId="0" applyBorder="1" applyProtection="1">
      <protection locked="0"/>
    </xf>
    <xf numFmtId="0" fontId="0" fillId="0" borderId="11" xfId="0" applyBorder="1" applyAlignment="1">
      <alignment wrapText="1"/>
    </xf>
    <xf numFmtId="0" fontId="6" fillId="0" borderId="0" xfId="0" applyFont="1"/>
    <xf numFmtId="0" fontId="7" fillId="3" borderId="2" xfId="0" applyFont="1" applyFill="1" applyBorder="1" applyAlignment="1">
      <alignment horizontal="center"/>
    </xf>
    <xf numFmtId="0" fontId="0" fillId="4" borderId="12" xfId="0" applyFill="1" applyBorder="1" applyProtection="1">
      <protection locked="0"/>
    </xf>
    <xf numFmtId="0" fontId="0" fillId="2" borderId="12" xfId="0" applyFill="1" applyBorder="1" applyProtection="1">
      <protection locked="0"/>
    </xf>
    <xf numFmtId="0" fontId="7" fillId="5" borderId="0" xfId="0" applyFont="1" applyFill="1" applyAlignment="1">
      <alignment horizontal="center"/>
    </xf>
    <xf numFmtId="0" fontId="0" fillId="0" borderId="0" xfId="0" applyAlignment="1">
      <alignment vertical="center"/>
    </xf>
    <xf numFmtId="0" fontId="1" fillId="0" borderId="0" xfId="0" applyFont="1" applyAlignment="1">
      <alignment vertical="center"/>
    </xf>
    <xf numFmtId="0" fontId="1" fillId="0" borderId="0" xfId="0" applyFont="1" applyAlignment="1">
      <alignment vertical="center" readingOrder="2"/>
    </xf>
    <xf numFmtId="0" fontId="1" fillId="6" borderId="9" xfId="0" applyFont="1" applyFill="1" applyBorder="1" applyAlignment="1">
      <alignment horizontal="center"/>
    </xf>
    <xf numFmtId="0" fontId="1" fillId="7" borderId="9" xfId="0" applyFont="1" applyFill="1" applyBorder="1" applyAlignment="1">
      <alignment horizontal="center"/>
    </xf>
    <xf numFmtId="0" fontId="1" fillId="0" borderId="0" xfId="0" applyFont="1" applyAlignment="1">
      <alignment horizontal="right" wrapText="1"/>
    </xf>
    <xf numFmtId="0" fontId="2" fillId="0" borderId="0" xfId="0" applyFont="1" applyAlignment="1">
      <alignment horizontal="center" vertical="center"/>
    </xf>
    <xf numFmtId="0" fontId="0" fillId="0" borderId="13" xfId="0" applyBorder="1" applyAlignment="1">
      <alignment horizontal="right" vertical="top" wrapText="1" readingOrder="2"/>
    </xf>
    <xf numFmtId="0" fontId="0" fillId="0" borderId="14" xfId="0" applyBorder="1" applyAlignment="1">
      <alignment horizontal="right" vertical="top" wrapText="1" readingOrder="2"/>
    </xf>
    <xf numFmtId="0" fontId="0" fillId="0" borderId="15" xfId="0" applyBorder="1" applyAlignment="1">
      <alignment horizontal="right" vertical="top" wrapText="1" readingOrder="2"/>
    </xf>
    <xf numFmtId="0" fontId="0" fillId="0" borderId="16" xfId="0" applyBorder="1" applyAlignment="1">
      <alignment horizontal="right" vertical="top" wrapText="1" readingOrder="2"/>
    </xf>
    <xf numFmtId="0" fontId="0" fillId="0" borderId="0" xfId="0" applyAlignment="1">
      <alignment horizontal="right" vertical="top" wrapText="1" readingOrder="2"/>
    </xf>
    <xf numFmtId="0" fontId="0" fillId="0" borderId="17" xfId="0" applyBorder="1" applyAlignment="1">
      <alignment horizontal="right" vertical="top" wrapText="1" readingOrder="2"/>
    </xf>
    <xf numFmtId="0" fontId="0" fillId="0" borderId="18" xfId="0" applyBorder="1" applyAlignment="1">
      <alignment horizontal="right" vertical="top" wrapText="1" readingOrder="2"/>
    </xf>
    <xf numFmtId="0" fontId="0" fillId="0" borderId="19" xfId="0" applyBorder="1" applyAlignment="1">
      <alignment horizontal="right" vertical="top" wrapText="1" readingOrder="2"/>
    </xf>
    <xf numFmtId="0" fontId="0" fillId="0" borderId="20" xfId="0" applyBorder="1" applyAlignment="1">
      <alignment horizontal="right" vertical="top" wrapText="1" readingOrder="2"/>
    </xf>
    <xf numFmtId="0" fontId="8" fillId="0" borderId="0" xfId="0" applyFont="1" applyAlignment="1">
      <alignment horizontal="right" vertical="center"/>
    </xf>
    <xf numFmtId="0" fontId="9" fillId="0" borderId="0" xfId="0" applyFont="1" applyAlignment="1">
      <alignment horizontal="right" vertical="center"/>
    </xf>
    <xf numFmtId="0" fontId="6" fillId="0" borderId="0" xfId="0" applyFont="1" applyAlignment="1">
      <alignment horizontal="right"/>
    </xf>
    <xf numFmtId="0" fontId="3" fillId="2" borderId="3" xfId="0" applyFont="1" applyFill="1" applyBorder="1" applyAlignment="1">
      <alignment horizontal="center" vertical="top" wrapText="1" readingOrder="2"/>
    </xf>
    <xf numFmtId="0" fontId="3" fillId="2" borderId="4" xfId="0" applyFont="1" applyFill="1" applyBorder="1" applyAlignment="1">
      <alignment horizontal="center" vertical="top" wrapText="1" readingOrder="2"/>
    </xf>
    <xf numFmtId="0" fontId="3" fillId="0" borderId="3" xfId="0" applyFont="1" applyBorder="1" applyAlignment="1">
      <alignment horizontal="center" vertical="top" wrapText="1" readingOrder="2"/>
    </xf>
    <xf numFmtId="0" fontId="3" fillId="0" borderId="4" xfId="0" applyFont="1" applyBorder="1" applyAlignment="1">
      <alignment horizontal="center" vertical="top" wrapText="1" readingOrder="2"/>
    </xf>
    <xf numFmtId="0" fontId="3" fillId="0" borderId="0" xfId="0" applyFont="1" applyAlignment="1">
      <alignment horizontal="center" vertical="top" wrapText="1" readingOrder="2"/>
    </xf>
  </cellXfs>
  <cellStyles count="1">
    <cellStyle name="Normal" xfId="0" builtinId="0"/>
  </cellStyles>
  <dxfs count="0"/>
  <tableStyles count="0" defaultTableStyle="TableStyleMedium9" defaultPivotStyle="PivotStyleLight16"/>
  <colors>
    <mruColors>
      <color rgb="FFE2D8F0"/>
      <color rgb="FF6D40A7"/>
      <color rgb="FF4F17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3486</xdr:rowOff>
    </xdr:from>
    <xdr:to>
      <xdr:col>2</xdr:col>
      <xdr:colOff>552450</xdr:colOff>
      <xdr:row>1</xdr:row>
      <xdr:rowOff>12938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flipH="1">
          <a:off x="11233165875" y="3486"/>
          <a:ext cx="1066800" cy="600002"/>
        </a:xfrm>
        <a:prstGeom prst="rect">
          <a:avLst/>
        </a:prstGeom>
        <a:solidFill>
          <a:schemeClr val="bg1"/>
        </a:solidFill>
      </xdr:spPr>
    </xdr:pic>
    <xdr:clientData/>
  </xdr:twoCellAnchor>
  <xdr:twoCellAnchor>
    <xdr:from>
      <xdr:col>2</xdr:col>
      <xdr:colOff>542925</xdr:colOff>
      <xdr:row>0</xdr:row>
      <xdr:rowOff>146325</xdr:rowOff>
    </xdr:from>
    <xdr:to>
      <xdr:col>10</xdr:col>
      <xdr:colOff>219075</xdr:colOff>
      <xdr:row>0</xdr:row>
      <xdr:rowOff>460650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11227679475" y="146325"/>
          <a:ext cx="549592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r" rtl="1"/>
          <a:r>
            <a:rPr lang="he-IL" sz="2000" b="1">
              <a:solidFill>
                <a:srgbClr val="4F175A"/>
              </a:solidFill>
            </a:rPr>
            <a:t>עוגני קריירה</a:t>
          </a:r>
        </a:p>
      </xdr:txBody>
    </xdr:sp>
    <xdr:clientData/>
  </xdr:twoCellAnchor>
  <xdr:twoCellAnchor editAs="oneCell">
    <xdr:from>
      <xdr:col>0</xdr:col>
      <xdr:colOff>28575</xdr:colOff>
      <xdr:row>0</xdr:row>
      <xdr:rowOff>0</xdr:rowOff>
    </xdr:from>
    <xdr:to>
      <xdr:col>2</xdr:col>
      <xdr:colOff>581025</xdr:colOff>
      <xdr:row>1</xdr:row>
      <xdr:rowOff>9452</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flipH="1">
          <a:off x="11233137300" y="0"/>
          <a:ext cx="1066800" cy="600002"/>
        </a:xfrm>
        <a:prstGeom prst="rect">
          <a:avLst/>
        </a:prstGeom>
        <a:solidFill>
          <a:schemeClr val="bg1"/>
        </a:solid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32</xdr:row>
      <xdr:rowOff>76200</xdr:rowOff>
    </xdr:from>
    <xdr:to>
      <xdr:col>17</xdr:col>
      <xdr:colOff>333375</xdr:colOff>
      <xdr:row>37</xdr:row>
      <xdr:rowOff>104097</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9976408800" y="6391275"/>
          <a:ext cx="5314950" cy="980397"/>
        </a:xfrm>
        <a:prstGeom prst="rect">
          <a:avLst/>
        </a:prstGeom>
      </xdr:spPr>
      <xdr:txBody>
        <a:bodyPr wrap="square">
          <a:spAutoFit/>
        </a:bodyPr>
        <a:lstStyle>
          <a:defPPr>
            <a:defRPr lang="en-US"/>
          </a:defPPr>
          <a:lvl1pPr marL="0" algn="l" defTabSz="914400" rtl="0" eaLnBrk="1" latinLnBrk="0" hangingPunct="1">
            <a:defRPr sz="1800" kern="1200">
              <a:solidFill>
                <a:srgbClr val="000000"/>
              </a:solidFill>
              <a:latin typeface="Calibri" panose="020F0502020204030204"/>
            </a:defRPr>
          </a:lvl1pPr>
          <a:lvl2pPr marL="457200" algn="l" defTabSz="914400" rtl="0" eaLnBrk="1" latinLnBrk="0" hangingPunct="1">
            <a:defRPr sz="1800" kern="1200">
              <a:solidFill>
                <a:srgbClr val="000000"/>
              </a:solidFill>
              <a:latin typeface="Calibri" panose="020F0502020204030204"/>
            </a:defRPr>
          </a:lvl2pPr>
          <a:lvl3pPr marL="914400" algn="l" defTabSz="914400" rtl="0" eaLnBrk="1" latinLnBrk="0" hangingPunct="1">
            <a:defRPr sz="1800" kern="1200">
              <a:solidFill>
                <a:srgbClr val="000000"/>
              </a:solidFill>
              <a:latin typeface="Calibri" panose="020F0502020204030204"/>
            </a:defRPr>
          </a:lvl3pPr>
          <a:lvl4pPr marL="1371600" algn="l" defTabSz="914400" rtl="0" eaLnBrk="1" latinLnBrk="0" hangingPunct="1">
            <a:defRPr sz="1800" kern="1200">
              <a:solidFill>
                <a:srgbClr val="000000"/>
              </a:solidFill>
              <a:latin typeface="Calibri" panose="020F0502020204030204"/>
            </a:defRPr>
          </a:lvl4pPr>
          <a:lvl5pPr marL="1828800" algn="l" defTabSz="914400" rtl="0" eaLnBrk="1" latinLnBrk="0" hangingPunct="1">
            <a:defRPr sz="1800" kern="1200">
              <a:solidFill>
                <a:srgbClr val="000000"/>
              </a:solidFill>
              <a:latin typeface="Calibri" panose="020F0502020204030204"/>
            </a:defRPr>
          </a:lvl5pPr>
          <a:lvl6pPr marL="2286000" algn="l" defTabSz="914400" rtl="0" eaLnBrk="1" latinLnBrk="0" hangingPunct="1">
            <a:defRPr sz="1800" kern="1200">
              <a:solidFill>
                <a:srgbClr val="000000"/>
              </a:solidFill>
              <a:latin typeface="Calibri" panose="020F0502020204030204"/>
            </a:defRPr>
          </a:lvl6pPr>
          <a:lvl7pPr marL="2743200" algn="l" defTabSz="914400" rtl="0" eaLnBrk="1" latinLnBrk="0" hangingPunct="1">
            <a:defRPr sz="1800" kern="1200">
              <a:solidFill>
                <a:srgbClr val="000000"/>
              </a:solidFill>
              <a:latin typeface="Calibri" panose="020F0502020204030204"/>
            </a:defRPr>
          </a:lvl7pPr>
          <a:lvl8pPr marL="3200400" algn="l" defTabSz="914400" rtl="0" eaLnBrk="1" latinLnBrk="0" hangingPunct="1">
            <a:defRPr sz="1800" kern="1200">
              <a:solidFill>
                <a:srgbClr val="000000"/>
              </a:solidFill>
              <a:latin typeface="Calibri" panose="020F0502020204030204"/>
            </a:defRPr>
          </a:lvl8pPr>
          <a:lvl9pPr marL="3657600" algn="l" defTabSz="914400" rtl="0" eaLnBrk="1" latinLnBrk="0" hangingPunct="1">
            <a:defRPr sz="1800" kern="1200">
              <a:solidFill>
                <a:srgbClr val="000000"/>
              </a:solidFill>
              <a:latin typeface="Calibri" panose="020F0502020204030204"/>
            </a:defRPr>
          </a:lvl9pPr>
        </a:lstStyle>
        <a:p>
          <a:pPr lvl="0" algn="r" rtl="1">
            <a:spcAft>
              <a:spcPts val="600"/>
            </a:spcAft>
            <a:defRPr/>
          </a:pPr>
          <a:r>
            <a:rPr kumimoji="0" lang="he-IL" sz="1100" b="1" i="0" u="none" strike="noStrike" kern="1200" cap="none" spc="0" normalizeH="0" baseline="0">
              <a:ln>
                <a:noFill/>
              </a:ln>
              <a:solidFill>
                <a:srgbClr val="4F185A"/>
              </a:solidFill>
              <a:effectLst/>
              <a:uLnTx/>
              <a:uFillTx/>
              <a:latin typeface="Arial" panose="020B0604020202020204" pitchFamily="34" charset="0"/>
              <a:cs typeface="Arial" panose="020B0604020202020204" pitchFamily="34" charset="0"/>
            </a:rPr>
            <a:t>ניהולי</a:t>
          </a:r>
          <a:r>
            <a:rPr kumimoji="0" lang="he-IL" sz="1100" b="1" i="0" u="none" strike="noStrike" kern="1200" cap="none" spc="0" normalizeH="0" baseline="0">
              <a:ln>
                <a:noFill/>
              </a:ln>
              <a:solidFill>
                <a:srgbClr val="E23368"/>
              </a:solidFill>
              <a:effectLst/>
              <a:uLnTx/>
              <a:uFillTx/>
              <a:latin typeface="Arial" panose="020B0604020202020204" pitchFamily="34" charset="0"/>
              <a:cs typeface="Arial" panose="020B0604020202020204" pitchFamily="34" charset="0"/>
            </a:rPr>
            <a:t> </a:t>
          </a:r>
          <a:r>
            <a:rPr lang="en-US" sz="1100" b="1">
              <a:solidFill>
                <a:srgbClr val="E23368"/>
              </a:solidFill>
              <a:latin typeface="Arial" panose="020B0604020202020204" pitchFamily="34" charset="0"/>
              <a:cs typeface="Arial" panose="020B0604020202020204" pitchFamily="34" charset="0"/>
            </a:rPr>
            <a:t>(GM) </a:t>
          </a:r>
          <a:endParaRPr kumimoji="0" lang="he-IL" sz="1100" b="1" i="0" u="none" strike="noStrike" kern="1200" cap="none" spc="0" normalizeH="0" baseline="0">
            <a:ln>
              <a:noFill/>
            </a:ln>
            <a:solidFill>
              <a:srgbClr val="E23368"/>
            </a:solidFill>
            <a:effectLst/>
            <a:uLnTx/>
            <a:uFillTx/>
            <a:latin typeface="Arial" panose="020B0604020202020204" pitchFamily="34" charset="0"/>
            <a:cs typeface="Arial" panose="020B0604020202020204" pitchFamily="34" charset="0"/>
          </a:endParaRPr>
        </a:p>
        <a:p>
          <a:pPr marL="171450" lvl="0"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לא תוותר על היכולת לטפס בדרגות ולהתקדם.</a:t>
          </a:r>
        </a:p>
        <a:p>
          <a:pPr marL="171450" lvl="0"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ניהול אנשים מעניין אותך.</a:t>
          </a:r>
        </a:p>
        <a:p>
          <a:pPr marL="171450" lvl="0"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מעניין אותך להיות אחראי על תוצאות העבודה של יחידה מסויימת בארגון (או של הארגון כולו)</a:t>
          </a:r>
        </a:p>
        <a:p>
          <a:pPr marL="171450" lvl="0"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מזדהה עם הצלחת הארגון בו אתה עובד.</a:t>
          </a:r>
        </a:p>
      </xdr:txBody>
    </xdr:sp>
    <xdr:clientData/>
  </xdr:twoCellAnchor>
  <xdr:twoCellAnchor>
    <xdr:from>
      <xdr:col>0</xdr:col>
      <xdr:colOff>147393</xdr:colOff>
      <xdr:row>45</xdr:row>
      <xdr:rowOff>6105</xdr:rowOff>
    </xdr:from>
    <xdr:to>
      <xdr:col>17</xdr:col>
      <xdr:colOff>17374</xdr:colOff>
      <xdr:row>50</xdr:row>
      <xdr:rowOff>34002</xdr:rowOff>
    </xdr:to>
    <xdr:sp macro="" textlink="">
      <xdr:nvSpPr>
        <xdr:cNvPr id="20" name="Rectangle 19">
          <a:extLst>
            <a:ext uri="{FF2B5EF4-FFF2-40B4-BE49-F238E27FC236}">
              <a16:creationId xmlns:a16="http://schemas.microsoft.com/office/drawing/2014/main" id="{00000000-0008-0000-0100-000014000000}"/>
            </a:ext>
          </a:extLst>
        </xdr:cNvPr>
        <xdr:cNvSpPr/>
      </xdr:nvSpPr>
      <xdr:spPr>
        <a:xfrm>
          <a:off x="9976724801" y="8797680"/>
          <a:ext cx="5003956" cy="980397"/>
        </a:xfrm>
        <a:prstGeom prst="rect">
          <a:avLst/>
        </a:prstGeom>
      </xdr:spPr>
      <xdr:txBody>
        <a:bodyPr wrap="square">
          <a:spAutoFit/>
        </a:bodyPr>
        <a:lstStyle>
          <a:defPPr>
            <a:defRPr lang="en-US"/>
          </a:defPPr>
          <a:lvl1pPr marL="0" algn="l" defTabSz="914400" rtl="0" eaLnBrk="1" latinLnBrk="0" hangingPunct="1">
            <a:defRPr sz="1800" kern="1200">
              <a:solidFill>
                <a:srgbClr val="000000"/>
              </a:solidFill>
              <a:latin typeface="Calibri" panose="020F0502020204030204"/>
            </a:defRPr>
          </a:lvl1pPr>
          <a:lvl2pPr marL="457200" algn="l" defTabSz="914400" rtl="0" eaLnBrk="1" latinLnBrk="0" hangingPunct="1">
            <a:defRPr sz="1800" kern="1200">
              <a:solidFill>
                <a:srgbClr val="000000"/>
              </a:solidFill>
              <a:latin typeface="Calibri" panose="020F0502020204030204"/>
            </a:defRPr>
          </a:lvl2pPr>
          <a:lvl3pPr marL="914400" algn="l" defTabSz="914400" rtl="0" eaLnBrk="1" latinLnBrk="0" hangingPunct="1">
            <a:defRPr sz="1800" kern="1200">
              <a:solidFill>
                <a:srgbClr val="000000"/>
              </a:solidFill>
              <a:latin typeface="Calibri" panose="020F0502020204030204"/>
            </a:defRPr>
          </a:lvl3pPr>
          <a:lvl4pPr marL="1371600" algn="l" defTabSz="914400" rtl="0" eaLnBrk="1" latinLnBrk="0" hangingPunct="1">
            <a:defRPr sz="1800" kern="1200">
              <a:solidFill>
                <a:srgbClr val="000000"/>
              </a:solidFill>
              <a:latin typeface="Calibri" panose="020F0502020204030204"/>
            </a:defRPr>
          </a:lvl4pPr>
          <a:lvl5pPr marL="1828800" algn="l" defTabSz="914400" rtl="0" eaLnBrk="1" latinLnBrk="0" hangingPunct="1">
            <a:defRPr sz="1800" kern="1200">
              <a:solidFill>
                <a:srgbClr val="000000"/>
              </a:solidFill>
              <a:latin typeface="Calibri" panose="020F0502020204030204"/>
            </a:defRPr>
          </a:lvl5pPr>
          <a:lvl6pPr marL="2286000" algn="l" defTabSz="914400" rtl="0" eaLnBrk="1" latinLnBrk="0" hangingPunct="1">
            <a:defRPr sz="1800" kern="1200">
              <a:solidFill>
                <a:srgbClr val="000000"/>
              </a:solidFill>
              <a:latin typeface="Calibri" panose="020F0502020204030204"/>
            </a:defRPr>
          </a:lvl6pPr>
          <a:lvl7pPr marL="2743200" algn="l" defTabSz="914400" rtl="0" eaLnBrk="1" latinLnBrk="0" hangingPunct="1">
            <a:defRPr sz="1800" kern="1200">
              <a:solidFill>
                <a:srgbClr val="000000"/>
              </a:solidFill>
              <a:latin typeface="Calibri" panose="020F0502020204030204"/>
            </a:defRPr>
          </a:lvl7pPr>
          <a:lvl8pPr marL="3200400" algn="l" defTabSz="914400" rtl="0" eaLnBrk="1" latinLnBrk="0" hangingPunct="1">
            <a:defRPr sz="1800" kern="1200">
              <a:solidFill>
                <a:srgbClr val="000000"/>
              </a:solidFill>
              <a:latin typeface="Calibri" panose="020F0502020204030204"/>
            </a:defRPr>
          </a:lvl8pPr>
          <a:lvl9pPr marL="3657600" algn="l" defTabSz="914400" rtl="0" eaLnBrk="1" latinLnBrk="0" hangingPunct="1">
            <a:defRPr sz="1800" kern="1200">
              <a:solidFill>
                <a:srgbClr val="000000"/>
              </a:solidFill>
              <a:latin typeface="Calibri" panose="020F0502020204030204"/>
            </a:defRPr>
          </a:lvl9pPr>
        </a:lstStyle>
        <a:p>
          <a:pPr lvl="0" algn="r" rtl="1">
            <a:spcAft>
              <a:spcPts val="600"/>
            </a:spcAft>
            <a:defRPr/>
          </a:pPr>
          <a:r>
            <a:rPr kumimoji="0" lang="he-IL" sz="1100" b="1" i="0" u="none" strike="noStrike" kern="1200" cap="none" spc="0" normalizeH="0" baseline="0">
              <a:ln>
                <a:noFill/>
              </a:ln>
              <a:solidFill>
                <a:srgbClr val="4F185A"/>
              </a:solidFill>
              <a:effectLst/>
              <a:uLnTx/>
              <a:uFillTx/>
              <a:latin typeface="Arial" panose="020B0604020202020204" pitchFamily="34" charset="0"/>
              <a:cs typeface="Arial" panose="020B0604020202020204" pitchFamily="34" charset="0"/>
            </a:rPr>
            <a:t>שירות</a:t>
          </a:r>
          <a:r>
            <a:rPr kumimoji="0" lang="he-IL" sz="1100" b="1" i="0" u="none" strike="noStrike" kern="1200" cap="none" spc="0" normalizeH="0" baseline="0">
              <a:ln>
                <a:noFill/>
              </a:ln>
              <a:solidFill>
                <a:srgbClr val="E23368"/>
              </a:solidFill>
              <a:effectLst/>
              <a:uLnTx/>
              <a:uFillTx/>
              <a:latin typeface="Arial" panose="020B0604020202020204" pitchFamily="34" charset="0"/>
              <a:cs typeface="Arial" panose="020B0604020202020204" pitchFamily="34" charset="0"/>
            </a:rPr>
            <a:t> </a:t>
          </a:r>
          <a:r>
            <a:rPr lang="en-US" sz="1100" b="1">
              <a:solidFill>
                <a:srgbClr val="E23368"/>
              </a:solidFill>
              <a:latin typeface="Arial" panose="020B0604020202020204" pitchFamily="34" charset="0"/>
              <a:cs typeface="Arial" panose="020B0604020202020204" pitchFamily="34" charset="0"/>
            </a:rPr>
            <a:t>(SV) </a:t>
          </a:r>
          <a:endParaRPr kumimoji="0" lang="en-US" sz="200" b="1" i="0" u="none" strike="noStrike" kern="1200" cap="none" spc="0" normalizeH="0" baseline="0">
            <a:ln>
              <a:noFill/>
            </a:ln>
            <a:solidFill>
              <a:srgbClr val="E23368"/>
            </a:solidFill>
            <a:effectLst/>
            <a:uLnTx/>
            <a:uFillTx/>
            <a:latin typeface="Arial" panose="020B0604020202020204" pitchFamily="34" charset="0"/>
            <a:cs typeface="Arial" panose="020B0604020202020204" pitchFamily="34" charset="0"/>
          </a:endParaRP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לא תוותר על האפשרות לעבוד בתפקיד או בארגון הפועל להשגת ערך מסוים. (למשל: איכות הסביבה, עזרה לזולת וכד').</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תדבק במטרה גם אם המשמעות היא להחליף מקומות עבודה.</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תסרב לקידום אם הוא ירחיק אותך מהשגת מטרותיך הערכיות.</a:t>
          </a:r>
        </a:p>
      </xdr:txBody>
    </xdr:sp>
    <xdr:clientData/>
  </xdr:twoCellAnchor>
  <xdr:twoCellAnchor>
    <xdr:from>
      <xdr:col>1</xdr:col>
      <xdr:colOff>0</xdr:colOff>
      <xdr:row>37</xdr:row>
      <xdr:rowOff>152400</xdr:rowOff>
    </xdr:from>
    <xdr:to>
      <xdr:col>17</xdr:col>
      <xdr:colOff>122639</xdr:colOff>
      <xdr:row>44</xdr:row>
      <xdr:rowOff>123744</xdr:rowOff>
    </xdr:to>
    <xdr:sp macro="" textlink="">
      <xdr:nvSpPr>
        <xdr:cNvPr id="21" name="Rectangle 20">
          <a:extLst>
            <a:ext uri="{FF2B5EF4-FFF2-40B4-BE49-F238E27FC236}">
              <a16:creationId xmlns:a16="http://schemas.microsoft.com/office/drawing/2014/main" id="{00000000-0008-0000-0100-000015000000}"/>
            </a:ext>
          </a:extLst>
        </xdr:cNvPr>
        <xdr:cNvSpPr/>
      </xdr:nvSpPr>
      <xdr:spPr>
        <a:xfrm>
          <a:off x="9976619536" y="7419975"/>
          <a:ext cx="5104214" cy="1304844"/>
        </a:xfrm>
        <a:prstGeom prst="rect">
          <a:avLst/>
        </a:prstGeom>
      </xdr:spPr>
      <xdr:txBody>
        <a:bodyPr wrap="square">
          <a:spAutoFit/>
        </a:bodyPr>
        <a:lstStyle>
          <a:defPPr>
            <a:defRPr lang="en-US"/>
          </a:defPPr>
          <a:lvl1pPr marL="0" algn="l" defTabSz="914400" rtl="0" eaLnBrk="1" latinLnBrk="0" hangingPunct="1">
            <a:defRPr sz="1800" kern="1200">
              <a:solidFill>
                <a:srgbClr val="000000"/>
              </a:solidFill>
              <a:latin typeface="Calibri" panose="020F0502020204030204"/>
            </a:defRPr>
          </a:lvl1pPr>
          <a:lvl2pPr marL="457200" algn="l" defTabSz="914400" rtl="0" eaLnBrk="1" latinLnBrk="0" hangingPunct="1">
            <a:defRPr sz="1800" kern="1200">
              <a:solidFill>
                <a:srgbClr val="000000"/>
              </a:solidFill>
              <a:latin typeface="Calibri" panose="020F0502020204030204"/>
            </a:defRPr>
          </a:lvl2pPr>
          <a:lvl3pPr marL="914400" algn="l" defTabSz="914400" rtl="0" eaLnBrk="1" latinLnBrk="0" hangingPunct="1">
            <a:defRPr sz="1800" kern="1200">
              <a:solidFill>
                <a:srgbClr val="000000"/>
              </a:solidFill>
              <a:latin typeface="Calibri" panose="020F0502020204030204"/>
            </a:defRPr>
          </a:lvl3pPr>
          <a:lvl4pPr marL="1371600" algn="l" defTabSz="914400" rtl="0" eaLnBrk="1" latinLnBrk="0" hangingPunct="1">
            <a:defRPr sz="1800" kern="1200">
              <a:solidFill>
                <a:srgbClr val="000000"/>
              </a:solidFill>
              <a:latin typeface="Calibri" panose="020F0502020204030204"/>
            </a:defRPr>
          </a:lvl4pPr>
          <a:lvl5pPr marL="1828800" algn="l" defTabSz="914400" rtl="0" eaLnBrk="1" latinLnBrk="0" hangingPunct="1">
            <a:defRPr sz="1800" kern="1200">
              <a:solidFill>
                <a:srgbClr val="000000"/>
              </a:solidFill>
              <a:latin typeface="Calibri" panose="020F0502020204030204"/>
            </a:defRPr>
          </a:lvl5pPr>
          <a:lvl6pPr marL="2286000" algn="l" defTabSz="914400" rtl="0" eaLnBrk="1" latinLnBrk="0" hangingPunct="1">
            <a:defRPr sz="1800" kern="1200">
              <a:solidFill>
                <a:srgbClr val="000000"/>
              </a:solidFill>
              <a:latin typeface="Calibri" panose="020F0502020204030204"/>
            </a:defRPr>
          </a:lvl6pPr>
          <a:lvl7pPr marL="2743200" algn="l" defTabSz="914400" rtl="0" eaLnBrk="1" latinLnBrk="0" hangingPunct="1">
            <a:defRPr sz="1800" kern="1200">
              <a:solidFill>
                <a:srgbClr val="000000"/>
              </a:solidFill>
              <a:latin typeface="Calibri" panose="020F0502020204030204"/>
            </a:defRPr>
          </a:lvl7pPr>
          <a:lvl8pPr marL="3200400" algn="l" defTabSz="914400" rtl="0" eaLnBrk="1" latinLnBrk="0" hangingPunct="1">
            <a:defRPr sz="1800" kern="1200">
              <a:solidFill>
                <a:srgbClr val="000000"/>
              </a:solidFill>
              <a:latin typeface="Calibri" panose="020F0502020204030204"/>
            </a:defRPr>
          </a:lvl8pPr>
          <a:lvl9pPr marL="3657600" algn="l" defTabSz="914400" rtl="0" eaLnBrk="1" latinLnBrk="0" hangingPunct="1">
            <a:defRPr sz="1800" kern="1200">
              <a:solidFill>
                <a:srgbClr val="000000"/>
              </a:solidFill>
              <a:latin typeface="Calibri" panose="020F0502020204030204"/>
            </a:defRPr>
          </a:lvl9pPr>
        </a:lstStyle>
        <a:p>
          <a:pPr lvl="0" algn="r" rtl="1">
            <a:spcAft>
              <a:spcPts val="600"/>
            </a:spcAft>
            <a:defRPr/>
          </a:pPr>
          <a:r>
            <a:rPr kumimoji="0" lang="he-IL" sz="1100" b="1" i="0" u="none" strike="noStrike" kern="1200" cap="none" spc="0" normalizeH="0" baseline="0">
              <a:ln>
                <a:noFill/>
              </a:ln>
              <a:solidFill>
                <a:srgbClr val="4F185A"/>
              </a:solidFill>
              <a:effectLst/>
              <a:uLnTx/>
              <a:uFillTx/>
              <a:latin typeface="Arial" panose="020B0604020202020204" pitchFamily="34" charset="0"/>
              <a:cs typeface="Arial" panose="020B0604020202020204" pitchFamily="34" charset="0"/>
            </a:rPr>
            <a:t>יזמות ויצירתיות </a:t>
          </a:r>
          <a:r>
            <a:rPr lang="en-US" sz="1100" b="1">
              <a:solidFill>
                <a:srgbClr val="E23368"/>
              </a:solidFill>
              <a:latin typeface="Arial" panose="020B0604020202020204" pitchFamily="34" charset="0"/>
              <a:cs typeface="Arial" panose="020B0604020202020204" pitchFamily="34" charset="0"/>
            </a:rPr>
            <a:t>(EC) </a:t>
          </a:r>
          <a:endParaRPr kumimoji="0" lang="en-US" sz="200" b="1" i="0" u="none" strike="noStrike" kern="1200" cap="none" spc="0" normalizeH="0" baseline="0">
            <a:ln>
              <a:noFill/>
            </a:ln>
            <a:solidFill>
              <a:srgbClr val="E23368"/>
            </a:solidFill>
            <a:effectLst/>
            <a:uLnTx/>
            <a:uFillTx/>
            <a:latin typeface="Arial" panose="020B0604020202020204" pitchFamily="34" charset="0"/>
            <a:cs typeface="Arial" panose="020B0604020202020204" pitchFamily="34" charset="0"/>
          </a:endParaRP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לא תוותר על האפשרות ליצור ארגון או חברה משל עצמך, כשאתה מודע ליכולות שלך להסתכן ולהתגבר על מכשולים.</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חשוב לך להוכיח לעולם שאתה מסוגל ליצור חברה עצמאית כתוצאה מהשקעתך ומאמציך.</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אתה יכול לעבוד עבור אחרים כאשר זה תורם ללמידה שלך עבור העסק העצמאי העתידי או הקיים שלך, אך תעזוב ברגע שתרגיש שאתה יכול לעשות זאת.</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הצלחת החברה שלך מבחינה כלכלית תהיה עבורך הוכחה ליכולות שלך.</a:t>
          </a:r>
        </a:p>
      </xdr:txBody>
    </xdr:sp>
    <xdr:clientData/>
  </xdr:twoCellAnchor>
  <xdr:twoCellAnchor>
    <xdr:from>
      <xdr:col>0</xdr:col>
      <xdr:colOff>-5779447</xdr:colOff>
      <xdr:row>52</xdr:row>
      <xdr:rowOff>116620</xdr:rowOff>
    </xdr:from>
    <xdr:to>
      <xdr:col>0</xdr:col>
      <xdr:colOff>-857431</xdr:colOff>
      <xdr:row>58</xdr:row>
      <xdr:rowOff>116240</xdr:rowOff>
    </xdr:to>
    <xdr:sp macro="" textlink="">
      <xdr:nvSpPr>
        <xdr:cNvPr id="22" name="Rectangle 21">
          <a:extLst>
            <a:ext uri="{FF2B5EF4-FFF2-40B4-BE49-F238E27FC236}">
              <a16:creationId xmlns:a16="http://schemas.microsoft.com/office/drawing/2014/main" id="{00000000-0008-0000-0100-000016000000}"/>
            </a:ext>
          </a:extLst>
        </xdr:cNvPr>
        <xdr:cNvSpPr/>
      </xdr:nvSpPr>
      <xdr:spPr>
        <a:xfrm>
          <a:off x="9982733581" y="10241695"/>
          <a:ext cx="4922016" cy="1142620"/>
        </a:xfrm>
        <a:prstGeom prst="rect">
          <a:avLst/>
        </a:prstGeom>
      </xdr:spPr>
      <xdr:txBody>
        <a:bodyPr wrap="square">
          <a:spAutoFit/>
        </a:bodyPr>
        <a:lstStyle>
          <a:defPPr>
            <a:defRPr lang="en-US"/>
          </a:defPPr>
          <a:lvl1pPr marL="0" algn="l" defTabSz="914400" rtl="0" eaLnBrk="1" latinLnBrk="0" hangingPunct="1">
            <a:defRPr sz="1800" kern="1200">
              <a:solidFill>
                <a:srgbClr val="000000"/>
              </a:solidFill>
              <a:latin typeface="Calibri" panose="020F0502020204030204"/>
            </a:defRPr>
          </a:lvl1pPr>
          <a:lvl2pPr marL="457200" algn="l" defTabSz="914400" rtl="0" eaLnBrk="1" latinLnBrk="0" hangingPunct="1">
            <a:defRPr sz="1800" kern="1200">
              <a:solidFill>
                <a:srgbClr val="000000"/>
              </a:solidFill>
              <a:latin typeface="Calibri" panose="020F0502020204030204"/>
            </a:defRPr>
          </a:lvl2pPr>
          <a:lvl3pPr marL="914400" algn="l" defTabSz="914400" rtl="0" eaLnBrk="1" latinLnBrk="0" hangingPunct="1">
            <a:defRPr sz="1800" kern="1200">
              <a:solidFill>
                <a:srgbClr val="000000"/>
              </a:solidFill>
              <a:latin typeface="Calibri" panose="020F0502020204030204"/>
            </a:defRPr>
          </a:lvl3pPr>
          <a:lvl4pPr marL="1371600" algn="l" defTabSz="914400" rtl="0" eaLnBrk="1" latinLnBrk="0" hangingPunct="1">
            <a:defRPr sz="1800" kern="1200">
              <a:solidFill>
                <a:srgbClr val="000000"/>
              </a:solidFill>
              <a:latin typeface="Calibri" panose="020F0502020204030204"/>
            </a:defRPr>
          </a:lvl4pPr>
          <a:lvl5pPr marL="1828800" algn="l" defTabSz="914400" rtl="0" eaLnBrk="1" latinLnBrk="0" hangingPunct="1">
            <a:defRPr sz="1800" kern="1200">
              <a:solidFill>
                <a:srgbClr val="000000"/>
              </a:solidFill>
              <a:latin typeface="Calibri" panose="020F0502020204030204"/>
            </a:defRPr>
          </a:lvl5pPr>
          <a:lvl6pPr marL="2286000" algn="l" defTabSz="914400" rtl="0" eaLnBrk="1" latinLnBrk="0" hangingPunct="1">
            <a:defRPr sz="1800" kern="1200">
              <a:solidFill>
                <a:srgbClr val="000000"/>
              </a:solidFill>
              <a:latin typeface="Calibri" panose="020F0502020204030204"/>
            </a:defRPr>
          </a:lvl6pPr>
          <a:lvl7pPr marL="2743200" algn="l" defTabSz="914400" rtl="0" eaLnBrk="1" latinLnBrk="0" hangingPunct="1">
            <a:defRPr sz="1800" kern="1200">
              <a:solidFill>
                <a:srgbClr val="000000"/>
              </a:solidFill>
              <a:latin typeface="Calibri" panose="020F0502020204030204"/>
            </a:defRPr>
          </a:lvl7pPr>
          <a:lvl8pPr marL="3200400" algn="l" defTabSz="914400" rtl="0" eaLnBrk="1" latinLnBrk="0" hangingPunct="1">
            <a:defRPr sz="1800" kern="1200">
              <a:solidFill>
                <a:srgbClr val="000000"/>
              </a:solidFill>
              <a:latin typeface="Calibri" panose="020F0502020204030204"/>
            </a:defRPr>
          </a:lvl8pPr>
          <a:lvl9pPr marL="3657600" algn="l" defTabSz="914400" rtl="0" eaLnBrk="1" latinLnBrk="0" hangingPunct="1">
            <a:defRPr sz="1800" kern="1200">
              <a:solidFill>
                <a:srgbClr val="000000"/>
              </a:solidFill>
              <a:latin typeface="Calibri" panose="020F0502020204030204"/>
            </a:defRPr>
          </a:lvl9pPr>
        </a:lstStyle>
        <a:p>
          <a:pPr lvl="0" algn="r" rtl="1">
            <a:spcAft>
              <a:spcPts val="600"/>
            </a:spcAft>
            <a:defRPr/>
          </a:pPr>
          <a:r>
            <a:rPr kumimoji="0" lang="he-IL" sz="1100" b="1" i="0" u="none" strike="noStrike" kern="1200" cap="none" spc="0" normalizeH="0" baseline="0">
              <a:ln>
                <a:noFill/>
              </a:ln>
              <a:solidFill>
                <a:srgbClr val="4F185A"/>
              </a:solidFill>
              <a:effectLst/>
              <a:uLnTx/>
              <a:uFillTx/>
              <a:latin typeface="Arial" panose="020B0604020202020204" pitchFamily="34" charset="0"/>
              <a:cs typeface="Arial" panose="020B0604020202020204" pitchFamily="34" charset="0"/>
            </a:rPr>
            <a:t>אוטונומי</a:t>
          </a:r>
          <a:r>
            <a:rPr kumimoji="0" lang="he-IL" sz="1100" b="1" i="0" u="none" strike="noStrike" kern="1200" cap="none" spc="0" normalizeH="0" baseline="0">
              <a:ln>
                <a:noFill/>
              </a:ln>
              <a:solidFill>
                <a:srgbClr val="E23368"/>
              </a:solidFill>
              <a:effectLst/>
              <a:uLnTx/>
              <a:uFillTx/>
              <a:latin typeface="Arial" panose="020B0604020202020204" pitchFamily="34" charset="0"/>
              <a:cs typeface="Arial" panose="020B0604020202020204" pitchFamily="34" charset="0"/>
            </a:rPr>
            <a:t> </a:t>
          </a:r>
          <a:r>
            <a:rPr lang="en-US" sz="1100" b="1">
              <a:solidFill>
                <a:srgbClr val="E23368"/>
              </a:solidFill>
              <a:latin typeface="Arial" panose="020B0604020202020204" pitchFamily="34" charset="0"/>
              <a:cs typeface="Arial" panose="020B0604020202020204" pitchFamily="34" charset="0"/>
            </a:rPr>
            <a:t>(AU) </a:t>
          </a:r>
          <a:endParaRPr kumimoji="0" lang="en-US" sz="200" b="1" i="0" u="none" strike="noStrike" kern="1200" cap="none" spc="0" normalizeH="0" baseline="0">
            <a:ln>
              <a:noFill/>
            </a:ln>
            <a:solidFill>
              <a:srgbClr val="E23368"/>
            </a:solidFill>
            <a:effectLst/>
            <a:uLnTx/>
            <a:uFillTx/>
            <a:latin typeface="Arial" panose="020B0604020202020204" pitchFamily="34" charset="0"/>
            <a:cs typeface="Arial" panose="020B0604020202020204" pitchFamily="34" charset="0"/>
          </a:endParaRP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לא תוותר על האפשרות להגדיר את העבודה שלך בעצמך ובדרכך.</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בארגון תעדיף תפקיד שיאפשר לך להגדיר מתי וכמה שעות אתה עובד.</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תחפש עיסוק המאפשר חופש כיון שקשה לך עם חוקים ארגוניים והגבלות.</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עשוי לבחור להיות עצמאי.</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יכול לדחות קידום לטובת חופש ועצמאות להם אתה זקוק.</a:t>
          </a:r>
        </a:p>
      </xdr:txBody>
    </xdr:sp>
    <xdr:clientData/>
  </xdr:twoCellAnchor>
  <xdr:twoCellAnchor>
    <xdr:from>
      <xdr:col>0</xdr:col>
      <xdr:colOff>-5826827</xdr:colOff>
      <xdr:row>60</xdr:row>
      <xdr:rowOff>79752</xdr:rowOff>
    </xdr:from>
    <xdr:to>
      <xdr:col>0</xdr:col>
      <xdr:colOff>-952191</xdr:colOff>
      <xdr:row>67</xdr:row>
      <xdr:rowOff>51096</xdr:rowOff>
    </xdr:to>
    <xdr:sp macro="" textlink="">
      <xdr:nvSpPr>
        <xdr:cNvPr id="23" name="Rectangle 22">
          <a:extLst>
            <a:ext uri="{FF2B5EF4-FFF2-40B4-BE49-F238E27FC236}">
              <a16:creationId xmlns:a16="http://schemas.microsoft.com/office/drawing/2014/main" id="{00000000-0008-0000-0100-000017000000}"/>
            </a:ext>
          </a:extLst>
        </xdr:cNvPr>
        <xdr:cNvSpPr/>
      </xdr:nvSpPr>
      <xdr:spPr>
        <a:xfrm>
          <a:off x="9982828341" y="11728827"/>
          <a:ext cx="4874636" cy="1304844"/>
        </a:xfrm>
        <a:prstGeom prst="rect">
          <a:avLst/>
        </a:prstGeom>
      </xdr:spPr>
      <xdr:txBody>
        <a:bodyPr wrap="square">
          <a:spAutoFit/>
        </a:bodyPr>
        <a:lstStyle>
          <a:defPPr>
            <a:defRPr lang="en-US"/>
          </a:defPPr>
          <a:lvl1pPr marL="0" algn="l" defTabSz="914400" rtl="0" eaLnBrk="1" latinLnBrk="0" hangingPunct="1">
            <a:defRPr sz="1800" kern="1200">
              <a:solidFill>
                <a:srgbClr val="000000"/>
              </a:solidFill>
              <a:latin typeface="Calibri" panose="020F0502020204030204"/>
            </a:defRPr>
          </a:lvl1pPr>
          <a:lvl2pPr marL="457200" algn="l" defTabSz="914400" rtl="0" eaLnBrk="1" latinLnBrk="0" hangingPunct="1">
            <a:defRPr sz="1800" kern="1200">
              <a:solidFill>
                <a:srgbClr val="000000"/>
              </a:solidFill>
              <a:latin typeface="Calibri" panose="020F0502020204030204"/>
            </a:defRPr>
          </a:lvl2pPr>
          <a:lvl3pPr marL="914400" algn="l" defTabSz="914400" rtl="0" eaLnBrk="1" latinLnBrk="0" hangingPunct="1">
            <a:defRPr sz="1800" kern="1200">
              <a:solidFill>
                <a:srgbClr val="000000"/>
              </a:solidFill>
              <a:latin typeface="Calibri" panose="020F0502020204030204"/>
            </a:defRPr>
          </a:lvl3pPr>
          <a:lvl4pPr marL="1371600" algn="l" defTabSz="914400" rtl="0" eaLnBrk="1" latinLnBrk="0" hangingPunct="1">
            <a:defRPr sz="1800" kern="1200">
              <a:solidFill>
                <a:srgbClr val="000000"/>
              </a:solidFill>
              <a:latin typeface="Calibri" panose="020F0502020204030204"/>
            </a:defRPr>
          </a:lvl4pPr>
          <a:lvl5pPr marL="1828800" algn="l" defTabSz="914400" rtl="0" eaLnBrk="1" latinLnBrk="0" hangingPunct="1">
            <a:defRPr sz="1800" kern="1200">
              <a:solidFill>
                <a:srgbClr val="000000"/>
              </a:solidFill>
              <a:latin typeface="Calibri" panose="020F0502020204030204"/>
            </a:defRPr>
          </a:lvl5pPr>
          <a:lvl6pPr marL="2286000" algn="l" defTabSz="914400" rtl="0" eaLnBrk="1" latinLnBrk="0" hangingPunct="1">
            <a:defRPr sz="1800" kern="1200">
              <a:solidFill>
                <a:srgbClr val="000000"/>
              </a:solidFill>
              <a:latin typeface="Calibri" panose="020F0502020204030204"/>
            </a:defRPr>
          </a:lvl6pPr>
          <a:lvl7pPr marL="2743200" algn="l" defTabSz="914400" rtl="0" eaLnBrk="1" latinLnBrk="0" hangingPunct="1">
            <a:defRPr sz="1800" kern="1200">
              <a:solidFill>
                <a:srgbClr val="000000"/>
              </a:solidFill>
              <a:latin typeface="Calibri" panose="020F0502020204030204"/>
            </a:defRPr>
          </a:lvl7pPr>
          <a:lvl8pPr marL="3200400" algn="l" defTabSz="914400" rtl="0" eaLnBrk="1" latinLnBrk="0" hangingPunct="1">
            <a:defRPr sz="1800" kern="1200">
              <a:solidFill>
                <a:srgbClr val="000000"/>
              </a:solidFill>
              <a:latin typeface="Calibri" panose="020F0502020204030204"/>
            </a:defRPr>
          </a:lvl8pPr>
          <a:lvl9pPr marL="3657600" algn="l" defTabSz="914400" rtl="0" eaLnBrk="1" latinLnBrk="0" hangingPunct="1">
            <a:defRPr sz="1800" kern="1200">
              <a:solidFill>
                <a:srgbClr val="000000"/>
              </a:solidFill>
              <a:latin typeface="Calibri" panose="020F0502020204030204"/>
            </a:defRPr>
          </a:lvl9pPr>
        </a:lstStyle>
        <a:p>
          <a:pPr lvl="0" algn="r" rtl="1">
            <a:spcAft>
              <a:spcPts val="600"/>
            </a:spcAft>
            <a:defRPr/>
          </a:pPr>
          <a:r>
            <a:rPr kumimoji="0" lang="he-IL" sz="1100" b="1" i="0" u="none" strike="noStrike" kern="1200" cap="none" spc="0" normalizeH="0" baseline="0">
              <a:ln>
                <a:noFill/>
              </a:ln>
              <a:solidFill>
                <a:srgbClr val="4F185A"/>
              </a:solidFill>
              <a:effectLst/>
              <a:uLnTx/>
              <a:uFillTx/>
              <a:latin typeface="Arial" panose="020B0604020202020204" pitchFamily="34" charset="0"/>
              <a:cs typeface="Arial" panose="020B0604020202020204" pitchFamily="34" charset="0"/>
            </a:rPr>
            <a:t>בטחון</a:t>
          </a:r>
          <a:r>
            <a:rPr kumimoji="0" lang="he-IL" sz="1100" b="1" i="0" u="none" strike="noStrike" kern="1200" cap="none" spc="0" normalizeH="0" baseline="0">
              <a:ln>
                <a:noFill/>
              </a:ln>
              <a:solidFill>
                <a:srgbClr val="E23368"/>
              </a:solidFill>
              <a:effectLst/>
              <a:uLnTx/>
              <a:uFillTx/>
              <a:latin typeface="Arial" panose="020B0604020202020204" pitchFamily="34" charset="0"/>
              <a:cs typeface="Arial" panose="020B0604020202020204" pitchFamily="34" charset="0"/>
            </a:rPr>
            <a:t> </a:t>
          </a:r>
          <a:r>
            <a:rPr lang="en-US" sz="1100" b="1">
              <a:solidFill>
                <a:srgbClr val="E23368"/>
              </a:solidFill>
              <a:latin typeface="Arial" panose="020B0604020202020204" pitchFamily="34" charset="0"/>
              <a:cs typeface="Arial" panose="020B0604020202020204" pitchFamily="34" charset="0"/>
            </a:rPr>
            <a:t>(SE) </a:t>
          </a:r>
          <a:endParaRPr kumimoji="0" lang="en-US" sz="200" b="1" i="0" u="none" strike="noStrike" kern="1200" cap="none" spc="0" normalizeH="0" baseline="0">
            <a:ln>
              <a:noFill/>
            </a:ln>
            <a:solidFill>
              <a:srgbClr val="E23368"/>
            </a:solidFill>
            <a:effectLst/>
            <a:uLnTx/>
            <a:uFillTx/>
            <a:latin typeface="Arial" panose="020B0604020202020204" pitchFamily="34" charset="0"/>
            <a:cs typeface="Arial" panose="020B0604020202020204" pitchFamily="34" charset="0"/>
          </a:endParaRP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לא תוותר על ביטחון תעסוקתי וקביעות.</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השאיפה היא לדאוג לביטחון הכלכלי, להיות בעל תוכנית פנסיה טובה, להיות בעל בטחון תעסוקתי.</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אדם בעל נאמנות ונכונות לבצע את כל דרישות הארגון.</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תוכן העבודה פחות חשוב וכך גם המעמד.</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הדימוי העצמי נבנה סביב ניהול היציבות והבטחון התעסוקתי.</a:t>
          </a:r>
        </a:p>
      </xdr:txBody>
    </xdr:sp>
    <xdr:clientData/>
  </xdr:twoCellAnchor>
  <xdr:twoCellAnchor>
    <xdr:from>
      <xdr:col>1</xdr:col>
      <xdr:colOff>19050</xdr:colOff>
      <xdr:row>50</xdr:row>
      <xdr:rowOff>105912</xdr:rowOff>
    </xdr:from>
    <xdr:to>
      <xdr:col>18</xdr:col>
      <xdr:colOff>28575</xdr:colOff>
      <xdr:row>56</xdr:row>
      <xdr:rowOff>105532</xdr:rowOff>
    </xdr:to>
    <xdr:sp macro="" textlink="">
      <xdr:nvSpPr>
        <xdr:cNvPr id="24" name="Rectangle 23">
          <a:extLst>
            <a:ext uri="{FF2B5EF4-FFF2-40B4-BE49-F238E27FC236}">
              <a16:creationId xmlns:a16="http://schemas.microsoft.com/office/drawing/2014/main" id="{00000000-0008-0000-0100-000018000000}"/>
            </a:ext>
          </a:extLst>
        </xdr:cNvPr>
        <xdr:cNvSpPr/>
      </xdr:nvSpPr>
      <xdr:spPr>
        <a:xfrm>
          <a:off x="9976342125" y="9849987"/>
          <a:ext cx="5362575" cy="1142620"/>
        </a:xfrm>
        <a:prstGeom prst="rect">
          <a:avLst/>
        </a:prstGeom>
      </xdr:spPr>
      <xdr:txBody>
        <a:bodyPr wrap="square">
          <a:spAutoFit/>
        </a:bodyPr>
        <a:lstStyle>
          <a:defPPr>
            <a:defRPr lang="en-US"/>
          </a:defPPr>
          <a:lvl1pPr marL="0" algn="l" defTabSz="914400" rtl="0" eaLnBrk="1" latinLnBrk="0" hangingPunct="1">
            <a:defRPr sz="1800" kern="1200">
              <a:solidFill>
                <a:srgbClr val="000000"/>
              </a:solidFill>
              <a:latin typeface="Calibri" panose="020F0502020204030204"/>
            </a:defRPr>
          </a:lvl1pPr>
          <a:lvl2pPr marL="457200" algn="l" defTabSz="914400" rtl="0" eaLnBrk="1" latinLnBrk="0" hangingPunct="1">
            <a:defRPr sz="1800" kern="1200">
              <a:solidFill>
                <a:srgbClr val="000000"/>
              </a:solidFill>
              <a:latin typeface="Calibri" panose="020F0502020204030204"/>
            </a:defRPr>
          </a:lvl2pPr>
          <a:lvl3pPr marL="914400" algn="l" defTabSz="914400" rtl="0" eaLnBrk="1" latinLnBrk="0" hangingPunct="1">
            <a:defRPr sz="1800" kern="1200">
              <a:solidFill>
                <a:srgbClr val="000000"/>
              </a:solidFill>
              <a:latin typeface="Calibri" panose="020F0502020204030204"/>
            </a:defRPr>
          </a:lvl3pPr>
          <a:lvl4pPr marL="1371600" algn="l" defTabSz="914400" rtl="0" eaLnBrk="1" latinLnBrk="0" hangingPunct="1">
            <a:defRPr sz="1800" kern="1200">
              <a:solidFill>
                <a:srgbClr val="000000"/>
              </a:solidFill>
              <a:latin typeface="Calibri" panose="020F0502020204030204"/>
            </a:defRPr>
          </a:lvl4pPr>
          <a:lvl5pPr marL="1828800" algn="l" defTabSz="914400" rtl="0" eaLnBrk="1" latinLnBrk="0" hangingPunct="1">
            <a:defRPr sz="1800" kern="1200">
              <a:solidFill>
                <a:srgbClr val="000000"/>
              </a:solidFill>
              <a:latin typeface="Calibri" panose="020F0502020204030204"/>
            </a:defRPr>
          </a:lvl5pPr>
          <a:lvl6pPr marL="2286000" algn="l" defTabSz="914400" rtl="0" eaLnBrk="1" latinLnBrk="0" hangingPunct="1">
            <a:defRPr sz="1800" kern="1200">
              <a:solidFill>
                <a:srgbClr val="000000"/>
              </a:solidFill>
              <a:latin typeface="Calibri" panose="020F0502020204030204"/>
            </a:defRPr>
          </a:lvl6pPr>
          <a:lvl7pPr marL="2743200" algn="l" defTabSz="914400" rtl="0" eaLnBrk="1" latinLnBrk="0" hangingPunct="1">
            <a:defRPr sz="1800" kern="1200">
              <a:solidFill>
                <a:srgbClr val="000000"/>
              </a:solidFill>
              <a:latin typeface="Calibri" panose="020F0502020204030204"/>
            </a:defRPr>
          </a:lvl7pPr>
          <a:lvl8pPr marL="3200400" algn="l" defTabSz="914400" rtl="0" eaLnBrk="1" latinLnBrk="0" hangingPunct="1">
            <a:defRPr sz="1800" kern="1200">
              <a:solidFill>
                <a:srgbClr val="000000"/>
              </a:solidFill>
              <a:latin typeface="Calibri" panose="020F0502020204030204"/>
            </a:defRPr>
          </a:lvl8pPr>
          <a:lvl9pPr marL="3657600" algn="l" defTabSz="914400" rtl="0" eaLnBrk="1" latinLnBrk="0" hangingPunct="1">
            <a:defRPr sz="1800" kern="1200">
              <a:solidFill>
                <a:srgbClr val="000000"/>
              </a:solidFill>
              <a:latin typeface="Calibri" panose="020F0502020204030204"/>
            </a:defRPr>
          </a:lvl9pPr>
        </a:lstStyle>
        <a:p>
          <a:pPr marR="0" lvl="0" algn="r" defTabSz="914400" rtl="1" eaLnBrk="1" fontAlgn="auto" latinLnBrk="0" hangingPunct="1">
            <a:lnSpc>
              <a:spcPct val="100000"/>
            </a:lnSpc>
            <a:spcBef>
              <a:spcPts val="0"/>
            </a:spcBef>
            <a:spcAft>
              <a:spcPts val="600"/>
            </a:spcAft>
            <a:buClrTx/>
            <a:buSzTx/>
            <a:tabLst/>
            <a:defRPr/>
          </a:pPr>
          <a:r>
            <a:rPr kumimoji="0" lang="he-IL" sz="1100" b="1" i="0" u="none" strike="noStrike" kern="1200" cap="none" spc="0" normalizeH="0" baseline="0">
              <a:ln>
                <a:noFill/>
              </a:ln>
              <a:solidFill>
                <a:srgbClr val="4F185A"/>
              </a:solidFill>
              <a:effectLst/>
              <a:uLnTx/>
              <a:uFillTx/>
              <a:latin typeface="Arial" panose="020B0604020202020204" pitchFamily="34" charset="0"/>
              <a:cs typeface="Arial" panose="020B0604020202020204" pitchFamily="34" charset="0"/>
            </a:rPr>
            <a:t>אתגר</a:t>
          </a:r>
          <a:r>
            <a:rPr kumimoji="0" lang="he-IL" sz="1100" b="1" i="0" u="none" strike="noStrike" kern="1200" cap="none" spc="0" normalizeH="0" baseline="0">
              <a:ln>
                <a:noFill/>
              </a:ln>
              <a:solidFill>
                <a:srgbClr val="E23368"/>
              </a:solidFill>
              <a:effectLst/>
              <a:uLnTx/>
              <a:uFillTx/>
              <a:latin typeface="Arial" panose="020B0604020202020204" pitchFamily="34" charset="0"/>
              <a:cs typeface="Arial" panose="020B0604020202020204" pitchFamily="34" charset="0"/>
            </a:rPr>
            <a:t> (</a:t>
          </a:r>
          <a:r>
            <a:rPr kumimoji="0" lang="en-US" sz="1100" b="1" i="0" u="none" strike="noStrike" kern="1200" cap="none" spc="0" normalizeH="0" baseline="0">
              <a:ln>
                <a:noFill/>
              </a:ln>
              <a:solidFill>
                <a:srgbClr val="E23368"/>
              </a:solidFill>
              <a:effectLst/>
              <a:uLnTx/>
              <a:uFillTx/>
              <a:latin typeface="Arial" panose="020B0604020202020204" pitchFamily="34" charset="0"/>
              <a:cs typeface="Arial" panose="020B0604020202020204" pitchFamily="34" charset="0"/>
            </a:rPr>
            <a:t>CH</a:t>
          </a:r>
          <a:r>
            <a:rPr kumimoji="0" lang="he-IL" sz="1100" b="1" i="0" u="none" strike="noStrike" kern="1200" cap="none" spc="0" normalizeH="0" baseline="0">
              <a:ln>
                <a:noFill/>
              </a:ln>
              <a:solidFill>
                <a:srgbClr val="E23368"/>
              </a:solidFill>
              <a:effectLst/>
              <a:uLnTx/>
              <a:uFillTx/>
              <a:latin typeface="Arial" panose="020B0604020202020204" pitchFamily="34" charset="0"/>
              <a:cs typeface="Arial" panose="020B0604020202020204" pitchFamily="34" charset="0"/>
            </a:rPr>
            <a:t>)</a:t>
          </a:r>
          <a:endParaRPr kumimoji="0" lang="en-US" sz="200" b="1" i="0" u="none" strike="noStrike" kern="1200" cap="none" spc="0" normalizeH="0" baseline="0">
            <a:ln>
              <a:noFill/>
            </a:ln>
            <a:solidFill>
              <a:srgbClr val="E23368"/>
            </a:solidFill>
            <a:effectLst/>
            <a:uLnTx/>
            <a:uFillTx/>
            <a:latin typeface="Arial" panose="020B0604020202020204" pitchFamily="34" charset="0"/>
            <a:cs typeface="Arial" panose="020B0604020202020204" pitchFamily="34" charset="0"/>
          </a:endParaRP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לא תוותר על האפשרות למצוא פתרונות לבעיות שנראות בלתי פתירות, לנצח מתחרים ולהתגבר על מכשולים קשים.</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ההתמדה שלך בתפקיד או במקום עבודה תהייה קשורה ליכולת שלך לנצח את הבלתי-אפשרי.</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תגדיר מצבים במונחי רווח והפסד.</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משימות שגרתיות וקלות משעממות אותך.</a:t>
          </a:r>
        </a:p>
      </xdr:txBody>
    </xdr:sp>
    <xdr:clientData/>
  </xdr:twoCellAnchor>
  <xdr:twoCellAnchor>
    <xdr:from>
      <xdr:col>0</xdr:col>
      <xdr:colOff>152399</xdr:colOff>
      <xdr:row>57</xdr:row>
      <xdr:rowOff>3552</xdr:rowOff>
    </xdr:from>
    <xdr:to>
      <xdr:col>18</xdr:col>
      <xdr:colOff>114299</xdr:colOff>
      <xdr:row>62</xdr:row>
      <xdr:rowOff>31449</xdr:rowOff>
    </xdr:to>
    <xdr:sp macro="" textlink="">
      <xdr:nvSpPr>
        <xdr:cNvPr id="25" name="Rectangle 24">
          <a:extLst>
            <a:ext uri="{FF2B5EF4-FFF2-40B4-BE49-F238E27FC236}">
              <a16:creationId xmlns:a16="http://schemas.microsoft.com/office/drawing/2014/main" id="{00000000-0008-0000-0100-000019000000}"/>
            </a:ext>
          </a:extLst>
        </xdr:cNvPr>
        <xdr:cNvSpPr/>
      </xdr:nvSpPr>
      <xdr:spPr>
        <a:xfrm>
          <a:off x="9976256401" y="11081127"/>
          <a:ext cx="5467350" cy="980397"/>
        </a:xfrm>
        <a:prstGeom prst="rect">
          <a:avLst/>
        </a:prstGeom>
      </xdr:spPr>
      <xdr:txBody>
        <a:bodyPr wrap="square">
          <a:spAutoFit/>
        </a:bodyPr>
        <a:lstStyle>
          <a:defPPr>
            <a:defRPr lang="en-US"/>
          </a:defPPr>
          <a:lvl1pPr marL="0" algn="l" defTabSz="914400" rtl="0" eaLnBrk="1" latinLnBrk="0" hangingPunct="1">
            <a:defRPr sz="1800" kern="1200">
              <a:solidFill>
                <a:srgbClr val="000000"/>
              </a:solidFill>
              <a:latin typeface="Calibri" panose="020F0502020204030204"/>
            </a:defRPr>
          </a:lvl1pPr>
          <a:lvl2pPr marL="457200" algn="l" defTabSz="914400" rtl="0" eaLnBrk="1" latinLnBrk="0" hangingPunct="1">
            <a:defRPr sz="1800" kern="1200">
              <a:solidFill>
                <a:srgbClr val="000000"/>
              </a:solidFill>
              <a:latin typeface="Calibri" panose="020F0502020204030204"/>
            </a:defRPr>
          </a:lvl2pPr>
          <a:lvl3pPr marL="914400" algn="l" defTabSz="914400" rtl="0" eaLnBrk="1" latinLnBrk="0" hangingPunct="1">
            <a:defRPr sz="1800" kern="1200">
              <a:solidFill>
                <a:srgbClr val="000000"/>
              </a:solidFill>
              <a:latin typeface="Calibri" panose="020F0502020204030204"/>
            </a:defRPr>
          </a:lvl3pPr>
          <a:lvl4pPr marL="1371600" algn="l" defTabSz="914400" rtl="0" eaLnBrk="1" latinLnBrk="0" hangingPunct="1">
            <a:defRPr sz="1800" kern="1200">
              <a:solidFill>
                <a:srgbClr val="000000"/>
              </a:solidFill>
              <a:latin typeface="Calibri" panose="020F0502020204030204"/>
            </a:defRPr>
          </a:lvl4pPr>
          <a:lvl5pPr marL="1828800" algn="l" defTabSz="914400" rtl="0" eaLnBrk="1" latinLnBrk="0" hangingPunct="1">
            <a:defRPr sz="1800" kern="1200">
              <a:solidFill>
                <a:srgbClr val="000000"/>
              </a:solidFill>
              <a:latin typeface="Calibri" panose="020F0502020204030204"/>
            </a:defRPr>
          </a:lvl5pPr>
          <a:lvl6pPr marL="2286000" algn="l" defTabSz="914400" rtl="0" eaLnBrk="1" latinLnBrk="0" hangingPunct="1">
            <a:defRPr sz="1800" kern="1200">
              <a:solidFill>
                <a:srgbClr val="000000"/>
              </a:solidFill>
              <a:latin typeface="Calibri" panose="020F0502020204030204"/>
            </a:defRPr>
          </a:lvl6pPr>
          <a:lvl7pPr marL="2743200" algn="l" defTabSz="914400" rtl="0" eaLnBrk="1" latinLnBrk="0" hangingPunct="1">
            <a:defRPr sz="1800" kern="1200">
              <a:solidFill>
                <a:srgbClr val="000000"/>
              </a:solidFill>
              <a:latin typeface="Calibri" panose="020F0502020204030204"/>
            </a:defRPr>
          </a:lvl7pPr>
          <a:lvl8pPr marL="3200400" algn="l" defTabSz="914400" rtl="0" eaLnBrk="1" latinLnBrk="0" hangingPunct="1">
            <a:defRPr sz="1800" kern="1200">
              <a:solidFill>
                <a:srgbClr val="000000"/>
              </a:solidFill>
              <a:latin typeface="Calibri" panose="020F0502020204030204"/>
            </a:defRPr>
          </a:lvl8pPr>
          <a:lvl9pPr marL="3657600" algn="l" defTabSz="914400" rtl="0" eaLnBrk="1" latinLnBrk="0" hangingPunct="1">
            <a:defRPr sz="1800" kern="1200">
              <a:solidFill>
                <a:srgbClr val="000000"/>
              </a:solidFill>
              <a:latin typeface="Calibri" panose="020F0502020204030204"/>
            </a:defRPr>
          </a:lvl9pPr>
        </a:lstStyle>
        <a:p>
          <a:pPr marL="0" marR="0" lvl="0" indent="0" algn="r" defTabSz="914400" rtl="1" eaLnBrk="1" fontAlgn="auto" latinLnBrk="0" hangingPunct="1">
            <a:lnSpc>
              <a:spcPct val="100000"/>
            </a:lnSpc>
            <a:spcBef>
              <a:spcPts val="0"/>
            </a:spcBef>
            <a:spcAft>
              <a:spcPts val="600"/>
            </a:spcAft>
            <a:buClrTx/>
            <a:buSzTx/>
            <a:buFontTx/>
            <a:buNone/>
            <a:tabLst/>
            <a:defRPr/>
          </a:pPr>
          <a:r>
            <a:rPr kumimoji="0" lang="he-IL" sz="1100" b="1" i="0" u="none" strike="noStrike" kern="1200" cap="none" spc="0" normalizeH="0" baseline="0">
              <a:ln>
                <a:noFill/>
              </a:ln>
              <a:solidFill>
                <a:srgbClr val="4F185A"/>
              </a:solidFill>
              <a:effectLst/>
              <a:uLnTx/>
              <a:uFillTx/>
              <a:latin typeface="Arial" panose="020B0604020202020204" pitchFamily="34" charset="0"/>
              <a:cs typeface="Arial" panose="020B0604020202020204" pitchFamily="34" charset="0"/>
            </a:rPr>
            <a:t>איזון</a:t>
          </a:r>
          <a:r>
            <a:rPr kumimoji="0" lang="he-IL" sz="1100" b="1" i="0" u="none" strike="noStrike" kern="1200" cap="none" spc="0" normalizeH="0" baseline="0">
              <a:ln>
                <a:noFill/>
              </a:ln>
              <a:solidFill>
                <a:srgbClr val="E23368"/>
              </a:solidFill>
              <a:effectLst/>
              <a:uLnTx/>
              <a:uFillTx/>
              <a:latin typeface="Arial" panose="020B0604020202020204" pitchFamily="34" charset="0"/>
              <a:cs typeface="Arial" panose="020B0604020202020204" pitchFamily="34" charset="0"/>
            </a:rPr>
            <a:t> (</a:t>
          </a:r>
          <a:r>
            <a:rPr kumimoji="0" lang="en-US" sz="1100" b="1" i="0" u="none" strike="noStrike" kern="1200" cap="none" spc="0" normalizeH="0" baseline="0">
              <a:ln>
                <a:noFill/>
              </a:ln>
              <a:solidFill>
                <a:srgbClr val="E23368"/>
              </a:solidFill>
              <a:effectLst/>
              <a:uLnTx/>
              <a:uFillTx/>
              <a:latin typeface="Arial" panose="020B0604020202020204" pitchFamily="34" charset="0"/>
              <a:cs typeface="Arial" panose="020B0604020202020204" pitchFamily="34" charset="0"/>
            </a:rPr>
            <a:t>LS</a:t>
          </a:r>
          <a:r>
            <a:rPr kumimoji="0" lang="he-IL" sz="1100" b="1" i="0" u="none" strike="noStrike" kern="1200" cap="none" spc="0" normalizeH="0" baseline="0">
              <a:ln>
                <a:noFill/>
              </a:ln>
              <a:solidFill>
                <a:srgbClr val="E23368"/>
              </a:solidFill>
              <a:effectLst/>
              <a:uLnTx/>
              <a:uFillTx/>
              <a:latin typeface="Arial" panose="020B0604020202020204" pitchFamily="34" charset="0"/>
              <a:cs typeface="Arial" panose="020B0604020202020204" pitchFamily="34" charset="0"/>
            </a:rPr>
            <a:t>)</a:t>
          </a:r>
          <a:endParaRPr kumimoji="0" lang="en-US" sz="200" b="1" i="0" u="none" strike="noStrike" kern="1200" cap="none" spc="0" normalizeH="0" baseline="0">
            <a:ln>
              <a:noFill/>
            </a:ln>
            <a:solidFill>
              <a:srgbClr val="E23368"/>
            </a:solidFill>
            <a:effectLst/>
            <a:uLnTx/>
            <a:uFillTx/>
            <a:latin typeface="Arial" panose="020B0604020202020204" pitchFamily="34" charset="0"/>
            <a:cs typeface="Arial" panose="020B0604020202020204" pitchFamily="34" charset="0"/>
          </a:endParaRP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הגדרת ההצלחה רחבה וקשורה יותר לסגנון החיים מאשר לקריירה.</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לא תוותר על האפשרות לאזן ולשלב בין צרכיך האישיים, צרכי משפחתך ודרישות הקריירה שלך.</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מעוניין שכל תחומי החיים ישולבו יחד וזקוק לקריירה המאפשרת גמישות.</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מוכן לוותר על תפקידים והזדמנויות בשל כך.</a:t>
          </a:r>
        </a:p>
      </xdr:txBody>
    </xdr:sp>
    <xdr:clientData/>
  </xdr:twoCellAnchor>
  <xdr:twoCellAnchor>
    <xdr:from>
      <xdr:col>1</xdr:col>
      <xdr:colOff>0</xdr:colOff>
      <xdr:row>62</xdr:row>
      <xdr:rowOff>104775</xdr:rowOff>
    </xdr:from>
    <xdr:to>
      <xdr:col>16</xdr:col>
      <xdr:colOff>178566</xdr:colOff>
      <xdr:row>68</xdr:row>
      <xdr:rowOff>104395</xdr:rowOff>
    </xdr:to>
    <xdr:sp macro="" textlink="">
      <xdr:nvSpPr>
        <xdr:cNvPr id="28" name="Rectangle 27">
          <a:extLst>
            <a:ext uri="{FF2B5EF4-FFF2-40B4-BE49-F238E27FC236}">
              <a16:creationId xmlns:a16="http://schemas.microsoft.com/office/drawing/2014/main" id="{00000000-0008-0000-0100-00001C000000}"/>
            </a:ext>
          </a:extLst>
        </xdr:cNvPr>
        <xdr:cNvSpPr/>
      </xdr:nvSpPr>
      <xdr:spPr>
        <a:xfrm>
          <a:off x="9976801734" y="12134850"/>
          <a:ext cx="4922016" cy="1142620"/>
        </a:xfrm>
        <a:prstGeom prst="rect">
          <a:avLst/>
        </a:prstGeom>
      </xdr:spPr>
      <xdr:txBody>
        <a:bodyPr wrap="square">
          <a:spAutoFit/>
        </a:bodyPr>
        <a:lstStyle>
          <a:defPPr>
            <a:defRPr lang="en-US"/>
          </a:defPPr>
          <a:lvl1pPr marL="0" algn="l" defTabSz="914400" rtl="0" eaLnBrk="1" latinLnBrk="0" hangingPunct="1">
            <a:defRPr sz="1800" kern="1200">
              <a:solidFill>
                <a:srgbClr val="000000"/>
              </a:solidFill>
              <a:latin typeface="Calibri" panose="020F0502020204030204"/>
            </a:defRPr>
          </a:lvl1pPr>
          <a:lvl2pPr marL="457200" algn="l" defTabSz="914400" rtl="0" eaLnBrk="1" latinLnBrk="0" hangingPunct="1">
            <a:defRPr sz="1800" kern="1200">
              <a:solidFill>
                <a:srgbClr val="000000"/>
              </a:solidFill>
              <a:latin typeface="Calibri" panose="020F0502020204030204"/>
            </a:defRPr>
          </a:lvl2pPr>
          <a:lvl3pPr marL="914400" algn="l" defTabSz="914400" rtl="0" eaLnBrk="1" latinLnBrk="0" hangingPunct="1">
            <a:defRPr sz="1800" kern="1200">
              <a:solidFill>
                <a:srgbClr val="000000"/>
              </a:solidFill>
              <a:latin typeface="Calibri" panose="020F0502020204030204"/>
            </a:defRPr>
          </a:lvl3pPr>
          <a:lvl4pPr marL="1371600" algn="l" defTabSz="914400" rtl="0" eaLnBrk="1" latinLnBrk="0" hangingPunct="1">
            <a:defRPr sz="1800" kern="1200">
              <a:solidFill>
                <a:srgbClr val="000000"/>
              </a:solidFill>
              <a:latin typeface="Calibri" panose="020F0502020204030204"/>
            </a:defRPr>
          </a:lvl4pPr>
          <a:lvl5pPr marL="1828800" algn="l" defTabSz="914400" rtl="0" eaLnBrk="1" latinLnBrk="0" hangingPunct="1">
            <a:defRPr sz="1800" kern="1200">
              <a:solidFill>
                <a:srgbClr val="000000"/>
              </a:solidFill>
              <a:latin typeface="Calibri" panose="020F0502020204030204"/>
            </a:defRPr>
          </a:lvl5pPr>
          <a:lvl6pPr marL="2286000" algn="l" defTabSz="914400" rtl="0" eaLnBrk="1" latinLnBrk="0" hangingPunct="1">
            <a:defRPr sz="1800" kern="1200">
              <a:solidFill>
                <a:srgbClr val="000000"/>
              </a:solidFill>
              <a:latin typeface="Calibri" panose="020F0502020204030204"/>
            </a:defRPr>
          </a:lvl6pPr>
          <a:lvl7pPr marL="2743200" algn="l" defTabSz="914400" rtl="0" eaLnBrk="1" latinLnBrk="0" hangingPunct="1">
            <a:defRPr sz="1800" kern="1200">
              <a:solidFill>
                <a:srgbClr val="000000"/>
              </a:solidFill>
              <a:latin typeface="Calibri" panose="020F0502020204030204"/>
            </a:defRPr>
          </a:lvl7pPr>
          <a:lvl8pPr marL="3200400" algn="l" defTabSz="914400" rtl="0" eaLnBrk="1" latinLnBrk="0" hangingPunct="1">
            <a:defRPr sz="1800" kern="1200">
              <a:solidFill>
                <a:srgbClr val="000000"/>
              </a:solidFill>
              <a:latin typeface="Calibri" panose="020F0502020204030204"/>
            </a:defRPr>
          </a:lvl8pPr>
          <a:lvl9pPr marL="3657600" algn="l" defTabSz="914400" rtl="0" eaLnBrk="1" latinLnBrk="0" hangingPunct="1">
            <a:defRPr sz="1800" kern="1200">
              <a:solidFill>
                <a:srgbClr val="000000"/>
              </a:solidFill>
              <a:latin typeface="Calibri" panose="020F0502020204030204"/>
            </a:defRPr>
          </a:lvl9pPr>
        </a:lstStyle>
        <a:p>
          <a:pPr lvl="0" algn="r" rtl="1">
            <a:spcAft>
              <a:spcPts val="600"/>
            </a:spcAft>
            <a:defRPr/>
          </a:pPr>
          <a:r>
            <a:rPr kumimoji="0" lang="he-IL" sz="1100" b="1" i="0" u="none" strike="noStrike" kern="1200" cap="none" spc="0" normalizeH="0" baseline="0">
              <a:ln>
                <a:noFill/>
              </a:ln>
              <a:solidFill>
                <a:srgbClr val="4F185A"/>
              </a:solidFill>
              <a:effectLst/>
              <a:uLnTx/>
              <a:uFillTx/>
              <a:latin typeface="Arial" panose="020B0604020202020204" pitchFamily="34" charset="0"/>
              <a:cs typeface="Arial" panose="020B0604020202020204" pitchFamily="34" charset="0"/>
            </a:rPr>
            <a:t>אוטונומי</a:t>
          </a:r>
          <a:r>
            <a:rPr kumimoji="0" lang="he-IL" sz="1100" b="1" i="0" u="none" strike="noStrike" kern="1200" cap="none" spc="0" normalizeH="0" baseline="0">
              <a:ln>
                <a:noFill/>
              </a:ln>
              <a:solidFill>
                <a:srgbClr val="E23368"/>
              </a:solidFill>
              <a:effectLst/>
              <a:uLnTx/>
              <a:uFillTx/>
              <a:latin typeface="Arial" panose="020B0604020202020204" pitchFamily="34" charset="0"/>
              <a:cs typeface="Arial" panose="020B0604020202020204" pitchFamily="34" charset="0"/>
            </a:rPr>
            <a:t> </a:t>
          </a:r>
          <a:r>
            <a:rPr lang="en-US" sz="1100" b="1">
              <a:solidFill>
                <a:srgbClr val="E23368"/>
              </a:solidFill>
              <a:latin typeface="Arial" panose="020B0604020202020204" pitchFamily="34" charset="0"/>
              <a:cs typeface="Arial" panose="020B0604020202020204" pitchFamily="34" charset="0"/>
            </a:rPr>
            <a:t>(AU) </a:t>
          </a:r>
          <a:endParaRPr kumimoji="0" lang="en-US" sz="200" b="1" i="0" u="none" strike="noStrike" kern="1200" cap="none" spc="0" normalizeH="0" baseline="0">
            <a:ln>
              <a:noFill/>
            </a:ln>
            <a:solidFill>
              <a:srgbClr val="E23368"/>
            </a:solidFill>
            <a:effectLst/>
            <a:uLnTx/>
            <a:uFillTx/>
            <a:latin typeface="Arial" panose="020B0604020202020204" pitchFamily="34" charset="0"/>
            <a:cs typeface="Arial" panose="020B0604020202020204" pitchFamily="34" charset="0"/>
          </a:endParaRP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לא תוותר על האפשרות להגדיר את העבודה שלך בעצמך ובדרכך.</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תעדיף תפקיד שיאפשר לך להגדיר מתי וכמה שעות אתה עובד.</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תחפש עיסוק המאפשר חופש כיון שקשה לך עם חוקים ארגוניים והגבלות.</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עשוי לבחור להיות עצמאי.</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יכול לדחות קידום לטובת חופש ועצמאות להם אתה זקוק.</a:t>
          </a:r>
        </a:p>
      </xdr:txBody>
    </xdr:sp>
    <xdr:clientData/>
  </xdr:twoCellAnchor>
  <xdr:twoCellAnchor>
    <xdr:from>
      <xdr:col>1</xdr:col>
      <xdr:colOff>243</xdr:colOff>
      <xdr:row>68</xdr:row>
      <xdr:rowOff>172682</xdr:rowOff>
    </xdr:from>
    <xdr:to>
      <xdr:col>18</xdr:col>
      <xdr:colOff>190499</xdr:colOff>
      <xdr:row>74</xdr:row>
      <xdr:rowOff>172302</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9976180201" y="13345757"/>
          <a:ext cx="5543306" cy="1142620"/>
        </a:xfrm>
        <a:prstGeom prst="rect">
          <a:avLst/>
        </a:prstGeom>
      </xdr:spPr>
      <xdr:txBody>
        <a:bodyPr wrap="square">
          <a:spAutoFit/>
        </a:bodyPr>
        <a:lstStyle>
          <a:defPPr>
            <a:defRPr lang="en-US"/>
          </a:defPPr>
          <a:lvl1pPr marL="0" algn="l" defTabSz="914400" rtl="0" eaLnBrk="1" latinLnBrk="0" hangingPunct="1">
            <a:defRPr sz="1800" kern="1200">
              <a:solidFill>
                <a:srgbClr val="000000"/>
              </a:solidFill>
              <a:latin typeface="Calibri" panose="020F0502020204030204"/>
            </a:defRPr>
          </a:lvl1pPr>
          <a:lvl2pPr marL="457200" algn="l" defTabSz="914400" rtl="0" eaLnBrk="1" latinLnBrk="0" hangingPunct="1">
            <a:defRPr sz="1800" kern="1200">
              <a:solidFill>
                <a:srgbClr val="000000"/>
              </a:solidFill>
              <a:latin typeface="Calibri" panose="020F0502020204030204"/>
            </a:defRPr>
          </a:lvl2pPr>
          <a:lvl3pPr marL="914400" algn="l" defTabSz="914400" rtl="0" eaLnBrk="1" latinLnBrk="0" hangingPunct="1">
            <a:defRPr sz="1800" kern="1200">
              <a:solidFill>
                <a:srgbClr val="000000"/>
              </a:solidFill>
              <a:latin typeface="Calibri" panose="020F0502020204030204"/>
            </a:defRPr>
          </a:lvl3pPr>
          <a:lvl4pPr marL="1371600" algn="l" defTabSz="914400" rtl="0" eaLnBrk="1" latinLnBrk="0" hangingPunct="1">
            <a:defRPr sz="1800" kern="1200">
              <a:solidFill>
                <a:srgbClr val="000000"/>
              </a:solidFill>
              <a:latin typeface="Calibri" panose="020F0502020204030204"/>
            </a:defRPr>
          </a:lvl4pPr>
          <a:lvl5pPr marL="1828800" algn="l" defTabSz="914400" rtl="0" eaLnBrk="1" latinLnBrk="0" hangingPunct="1">
            <a:defRPr sz="1800" kern="1200">
              <a:solidFill>
                <a:srgbClr val="000000"/>
              </a:solidFill>
              <a:latin typeface="Calibri" panose="020F0502020204030204"/>
            </a:defRPr>
          </a:lvl5pPr>
          <a:lvl6pPr marL="2286000" algn="l" defTabSz="914400" rtl="0" eaLnBrk="1" latinLnBrk="0" hangingPunct="1">
            <a:defRPr sz="1800" kern="1200">
              <a:solidFill>
                <a:srgbClr val="000000"/>
              </a:solidFill>
              <a:latin typeface="Calibri" panose="020F0502020204030204"/>
            </a:defRPr>
          </a:lvl6pPr>
          <a:lvl7pPr marL="2743200" algn="l" defTabSz="914400" rtl="0" eaLnBrk="1" latinLnBrk="0" hangingPunct="1">
            <a:defRPr sz="1800" kern="1200">
              <a:solidFill>
                <a:srgbClr val="000000"/>
              </a:solidFill>
              <a:latin typeface="Calibri" panose="020F0502020204030204"/>
            </a:defRPr>
          </a:lvl7pPr>
          <a:lvl8pPr marL="3200400" algn="l" defTabSz="914400" rtl="0" eaLnBrk="1" latinLnBrk="0" hangingPunct="1">
            <a:defRPr sz="1800" kern="1200">
              <a:solidFill>
                <a:srgbClr val="000000"/>
              </a:solidFill>
              <a:latin typeface="Calibri" panose="020F0502020204030204"/>
            </a:defRPr>
          </a:lvl8pPr>
          <a:lvl9pPr marL="3657600" algn="l" defTabSz="914400" rtl="0" eaLnBrk="1" latinLnBrk="0" hangingPunct="1">
            <a:defRPr sz="1800" kern="1200">
              <a:solidFill>
                <a:srgbClr val="000000"/>
              </a:solidFill>
              <a:latin typeface="Calibri" panose="020F0502020204030204"/>
            </a:defRPr>
          </a:lvl9pPr>
        </a:lstStyle>
        <a:p>
          <a:pPr lvl="0" algn="r" rtl="1">
            <a:spcAft>
              <a:spcPts val="600"/>
            </a:spcAft>
            <a:defRPr/>
          </a:pPr>
          <a:r>
            <a:rPr kumimoji="0" lang="he-IL" sz="1100" b="1" i="0" u="none" strike="noStrike" kern="1200" cap="none" spc="0" normalizeH="0" baseline="0">
              <a:ln>
                <a:noFill/>
              </a:ln>
              <a:solidFill>
                <a:srgbClr val="4F185A"/>
              </a:solidFill>
              <a:effectLst/>
              <a:uLnTx/>
              <a:uFillTx/>
              <a:latin typeface="Arial" panose="020B0604020202020204" pitchFamily="34" charset="0"/>
              <a:cs typeface="Arial" panose="020B0604020202020204" pitchFamily="34" charset="0"/>
            </a:rPr>
            <a:t>בטחון</a:t>
          </a:r>
          <a:r>
            <a:rPr kumimoji="0" lang="he-IL" sz="1100" b="1" i="0" u="none" strike="noStrike" kern="1200" cap="none" spc="0" normalizeH="0" baseline="0">
              <a:ln>
                <a:noFill/>
              </a:ln>
              <a:solidFill>
                <a:srgbClr val="E23368"/>
              </a:solidFill>
              <a:effectLst/>
              <a:uLnTx/>
              <a:uFillTx/>
              <a:latin typeface="Arial" panose="020B0604020202020204" pitchFamily="34" charset="0"/>
              <a:cs typeface="Arial" panose="020B0604020202020204" pitchFamily="34" charset="0"/>
            </a:rPr>
            <a:t> </a:t>
          </a:r>
          <a:r>
            <a:rPr lang="en-US" sz="1100" b="1">
              <a:solidFill>
                <a:srgbClr val="E23368"/>
              </a:solidFill>
              <a:latin typeface="Arial" panose="020B0604020202020204" pitchFamily="34" charset="0"/>
              <a:cs typeface="Arial" panose="020B0604020202020204" pitchFamily="34" charset="0"/>
            </a:rPr>
            <a:t>(SE) </a:t>
          </a:r>
          <a:endParaRPr kumimoji="0" lang="en-US" sz="200" b="1" i="0" u="none" strike="noStrike" kern="1200" cap="none" spc="0" normalizeH="0" baseline="0">
            <a:ln>
              <a:noFill/>
            </a:ln>
            <a:solidFill>
              <a:srgbClr val="E23368"/>
            </a:solidFill>
            <a:effectLst/>
            <a:uLnTx/>
            <a:uFillTx/>
            <a:latin typeface="Arial" panose="020B0604020202020204" pitchFamily="34" charset="0"/>
            <a:cs typeface="Arial" panose="020B0604020202020204" pitchFamily="34" charset="0"/>
          </a:endParaRP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לא תוותר על ביטחון תעסוקתי וקביעות.</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השאיפה היא לדאוג לביטחון הכלכלי, להיות בעל תוכנית פנסיה טובה, להיות בעל בטחון תעסוקתי.</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אדם בעל נאמנות ונכונות לבצע את כל דרישות הארגון.</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תוכן העבודה פחות חשוב מיציבות וכך גם המעמד.</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הדימוי העצמי נבנה סביב ניהול היציבות והבטחון התעסוקתי.</a:t>
          </a:r>
        </a:p>
      </xdr:txBody>
    </xdr:sp>
    <xdr:clientData/>
  </xdr:twoCellAnchor>
  <xdr:twoCellAnchor>
    <xdr:from>
      <xdr:col>0</xdr:col>
      <xdr:colOff>133350</xdr:colOff>
      <xdr:row>27</xdr:row>
      <xdr:rowOff>9525</xdr:rowOff>
    </xdr:from>
    <xdr:to>
      <xdr:col>18</xdr:col>
      <xdr:colOff>180975</xdr:colOff>
      <xdr:row>32</xdr:row>
      <xdr:rowOff>37422</xdr:rowOff>
    </xdr:to>
    <xdr:sp macro="" textlink="">
      <xdr:nvSpPr>
        <xdr:cNvPr id="12" name="Rectangle 11">
          <a:extLst>
            <a:ext uri="{FF2B5EF4-FFF2-40B4-BE49-F238E27FC236}">
              <a16:creationId xmlns:a16="http://schemas.microsoft.com/office/drawing/2014/main" id="{1B55C32D-5ECD-4D5D-8E22-D8BFAB957CF3}"/>
            </a:ext>
          </a:extLst>
        </xdr:cNvPr>
        <xdr:cNvSpPr/>
      </xdr:nvSpPr>
      <xdr:spPr>
        <a:xfrm>
          <a:off x="9976189725" y="5372100"/>
          <a:ext cx="5553075" cy="980397"/>
        </a:xfrm>
        <a:prstGeom prst="rect">
          <a:avLst/>
        </a:prstGeom>
      </xdr:spPr>
      <xdr:txBody>
        <a:bodyPr wrap="square">
          <a:spAutoFit/>
        </a:bodyPr>
        <a:lstStyle>
          <a:defPPr>
            <a:defRPr lang="en-US"/>
          </a:defPPr>
          <a:lvl1pPr marL="0" algn="l" defTabSz="914400" rtl="0" eaLnBrk="1" latinLnBrk="0" hangingPunct="1">
            <a:defRPr sz="1800" kern="1200">
              <a:solidFill>
                <a:srgbClr val="000000"/>
              </a:solidFill>
              <a:latin typeface="Calibri" panose="020F0502020204030204"/>
            </a:defRPr>
          </a:lvl1pPr>
          <a:lvl2pPr marL="457200" algn="l" defTabSz="914400" rtl="0" eaLnBrk="1" latinLnBrk="0" hangingPunct="1">
            <a:defRPr sz="1800" kern="1200">
              <a:solidFill>
                <a:srgbClr val="000000"/>
              </a:solidFill>
              <a:latin typeface="Calibri" panose="020F0502020204030204"/>
            </a:defRPr>
          </a:lvl2pPr>
          <a:lvl3pPr marL="914400" algn="l" defTabSz="914400" rtl="0" eaLnBrk="1" latinLnBrk="0" hangingPunct="1">
            <a:defRPr sz="1800" kern="1200">
              <a:solidFill>
                <a:srgbClr val="000000"/>
              </a:solidFill>
              <a:latin typeface="Calibri" panose="020F0502020204030204"/>
            </a:defRPr>
          </a:lvl3pPr>
          <a:lvl4pPr marL="1371600" algn="l" defTabSz="914400" rtl="0" eaLnBrk="1" latinLnBrk="0" hangingPunct="1">
            <a:defRPr sz="1800" kern="1200">
              <a:solidFill>
                <a:srgbClr val="000000"/>
              </a:solidFill>
              <a:latin typeface="Calibri" panose="020F0502020204030204"/>
            </a:defRPr>
          </a:lvl4pPr>
          <a:lvl5pPr marL="1828800" algn="l" defTabSz="914400" rtl="0" eaLnBrk="1" latinLnBrk="0" hangingPunct="1">
            <a:defRPr sz="1800" kern="1200">
              <a:solidFill>
                <a:srgbClr val="000000"/>
              </a:solidFill>
              <a:latin typeface="Calibri" panose="020F0502020204030204"/>
            </a:defRPr>
          </a:lvl5pPr>
          <a:lvl6pPr marL="2286000" algn="l" defTabSz="914400" rtl="0" eaLnBrk="1" latinLnBrk="0" hangingPunct="1">
            <a:defRPr sz="1800" kern="1200">
              <a:solidFill>
                <a:srgbClr val="000000"/>
              </a:solidFill>
              <a:latin typeface="Calibri" panose="020F0502020204030204"/>
            </a:defRPr>
          </a:lvl6pPr>
          <a:lvl7pPr marL="2743200" algn="l" defTabSz="914400" rtl="0" eaLnBrk="1" latinLnBrk="0" hangingPunct="1">
            <a:defRPr sz="1800" kern="1200">
              <a:solidFill>
                <a:srgbClr val="000000"/>
              </a:solidFill>
              <a:latin typeface="Calibri" panose="020F0502020204030204"/>
            </a:defRPr>
          </a:lvl7pPr>
          <a:lvl8pPr marL="3200400" algn="l" defTabSz="914400" rtl="0" eaLnBrk="1" latinLnBrk="0" hangingPunct="1">
            <a:defRPr sz="1800" kern="1200">
              <a:solidFill>
                <a:srgbClr val="000000"/>
              </a:solidFill>
              <a:latin typeface="Calibri" panose="020F0502020204030204"/>
            </a:defRPr>
          </a:lvl8pPr>
          <a:lvl9pPr marL="3657600" algn="l" defTabSz="914400" rtl="0" eaLnBrk="1" latinLnBrk="0" hangingPunct="1">
            <a:defRPr sz="1800" kern="1200">
              <a:solidFill>
                <a:srgbClr val="000000"/>
              </a:solidFill>
              <a:latin typeface="Calibri" panose="020F0502020204030204"/>
            </a:defRPr>
          </a:lvl9pPr>
        </a:lstStyle>
        <a:p>
          <a:pPr lvl="0" algn="r" rtl="1">
            <a:spcAft>
              <a:spcPts val="600"/>
            </a:spcAft>
          </a:pPr>
          <a:r>
            <a:rPr lang="he-IL" sz="1100" b="1">
              <a:solidFill>
                <a:srgbClr val="4F185A"/>
              </a:solidFill>
              <a:latin typeface="Arial" panose="020B0604020202020204" pitchFamily="34" charset="0"/>
            </a:rPr>
            <a:t>טכני / ביצועי </a:t>
          </a:r>
          <a:r>
            <a:rPr lang="en-US" sz="1100" b="1">
              <a:solidFill>
                <a:srgbClr val="E23368"/>
              </a:solidFill>
              <a:latin typeface="Arial" panose="020B0604020202020204" pitchFamily="34" charset="0"/>
            </a:rPr>
            <a:t>(TF) </a:t>
          </a:r>
          <a:endParaRPr lang="he-IL" sz="1100" b="1">
            <a:solidFill>
              <a:srgbClr val="E23368"/>
            </a:solidFill>
            <a:latin typeface="Arial" panose="020B0604020202020204" pitchFamily="34" charset="0"/>
          </a:endParaRP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לא תוותר על היכולות הביצועיות ותרצה להמשיך לצבור ידע ומומחיות בתחום התמחותך.</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הזהות העצמית נובעת מיכולות</a:t>
          </a:r>
          <a:r>
            <a:rPr lang="he-IL" sz="1100" baseline="0">
              <a:solidFill>
                <a:srgbClr val="000000"/>
              </a:solidFill>
              <a:latin typeface="Arial" panose="020B0604020202020204" pitchFamily="34" charset="0"/>
            </a:rPr>
            <a:t> ביצוע ויישום בתחום התמחותך.</a:t>
          </a:r>
          <a:r>
            <a:rPr lang="he-IL" sz="1100">
              <a:solidFill>
                <a:srgbClr val="000000"/>
              </a:solidFill>
              <a:latin typeface="Arial" panose="020B0604020202020204" pitchFamily="34" charset="0"/>
            </a:rPr>
            <a:t>.</a:t>
          </a: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תהיה שבע רצון מפתרון אתגרים בתחום</a:t>
          </a:r>
          <a:r>
            <a:rPr lang="he-IL" sz="1100" baseline="0">
              <a:solidFill>
                <a:srgbClr val="000000"/>
              </a:solidFill>
              <a:latin typeface="Arial" panose="020B0604020202020204" pitchFamily="34" charset="0"/>
            </a:rPr>
            <a:t> התמחותך.</a:t>
          </a:r>
          <a:endParaRPr lang="he-IL" sz="1100">
            <a:solidFill>
              <a:srgbClr val="000000"/>
            </a:solidFill>
            <a:latin typeface="Arial" panose="020B0604020202020204" pitchFamily="34" charset="0"/>
          </a:endParaRPr>
        </a:p>
        <a:p>
          <a:pPr marL="182562" lvl="1" indent="-171450" algn="r" rtl="1">
            <a:buClr>
              <a:srgbClr val="EB5C87">
                <a:lumMod val="75000"/>
              </a:srgbClr>
            </a:buClr>
            <a:buFont typeface="Wingdings" panose="05000000000000000000" pitchFamily="2" charset="2"/>
            <a:buChar char="§"/>
          </a:pPr>
          <a:r>
            <a:rPr lang="he-IL" sz="1100">
              <a:solidFill>
                <a:srgbClr val="000000"/>
              </a:solidFill>
              <a:latin typeface="Arial" panose="020B0604020202020204" pitchFamily="34" charset="0"/>
            </a:rPr>
            <a:t>אחריות מקצועית/טכנית</a:t>
          </a:r>
          <a:r>
            <a:rPr lang="he-IL" sz="1100" baseline="0">
              <a:solidFill>
                <a:srgbClr val="000000"/>
              </a:solidFill>
              <a:latin typeface="Arial" panose="020B0604020202020204" pitchFamily="34" charset="0"/>
            </a:rPr>
            <a:t> </a:t>
          </a:r>
          <a:r>
            <a:rPr lang="he-IL" sz="1100">
              <a:solidFill>
                <a:srgbClr val="000000"/>
              </a:solidFill>
              <a:latin typeface="Arial" panose="020B0604020202020204" pitchFamily="34" charset="0"/>
            </a:rPr>
            <a:t>מעניינת</a:t>
          </a:r>
          <a:r>
            <a:rPr lang="he-IL" sz="1100" baseline="0">
              <a:solidFill>
                <a:srgbClr val="000000"/>
              </a:solidFill>
              <a:latin typeface="Arial" panose="020B0604020202020204" pitchFamily="34" charset="0"/>
            </a:rPr>
            <a:t> </a:t>
          </a:r>
          <a:r>
            <a:rPr lang="he-IL" sz="1100">
              <a:solidFill>
                <a:srgbClr val="000000"/>
              </a:solidFill>
              <a:latin typeface="Arial" panose="020B0604020202020204" pitchFamily="34" charset="0"/>
            </a:rPr>
            <a:t>אותך אך ניהול כשלעצמו לא מעניין אותך.</a:t>
          </a:r>
        </a:p>
      </xdr:txBody>
    </xdr:sp>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54"/>
  <sheetViews>
    <sheetView showGridLines="0" rightToLeft="1" zoomScaleSheetLayoutView="100" workbookViewId="0">
      <pane ySplit="9" topLeftCell="A10" activePane="bottomLeft" state="frozen"/>
      <selection pane="bottomLeft" activeCell="H11" sqref="H11"/>
    </sheetView>
  </sheetViews>
  <sheetFormatPr defaultRowHeight="14" x14ac:dyDescent="0.3"/>
  <cols>
    <col min="1" max="1" width="3.1640625" customWidth="1"/>
    <col min="2" max="2" width="3.58203125" customWidth="1"/>
    <col min="3" max="9" width="9.58203125" customWidth="1"/>
    <col min="11" max="11" width="19.83203125" customWidth="1"/>
    <col min="12" max="12" width="10.1640625" customWidth="1"/>
    <col min="13" max="13" width="11.75" customWidth="1"/>
    <col min="14" max="14" width="22" customWidth="1"/>
    <col min="15" max="15" width="1.25" hidden="1" customWidth="1"/>
    <col min="16" max="16" width="1.83203125" hidden="1" customWidth="1"/>
    <col min="17" max="17" width="0.58203125" hidden="1" customWidth="1"/>
    <col min="18" max="18" width="1.1640625" hidden="1" customWidth="1"/>
    <col min="19" max="20" width="0" hidden="1" customWidth="1"/>
  </cols>
  <sheetData>
    <row r="1" spans="2:17" ht="46.5" customHeight="1" x14ac:dyDescent="0.3"/>
    <row r="2" spans="2:17" x14ac:dyDescent="0.3">
      <c r="L2" t="s">
        <v>140</v>
      </c>
    </row>
    <row r="3" spans="2:17" ht="17.25" customHeight="1" x14ac:dyDescent="0.3">
      <c r="B3" s="39"/>
      <c r="C3" s="39"/>
      <c r="D3" s="39"/>
      <c r="E3" s="39"/>
      <c r="F3" s="39"/>
      <c r="G3" s="39"/>
      <c r="H3" s="39"/>
      <c r="I3" s="39"/>
      <c r="J3" s="39"/>
      <c r="K3" s="39"/>
      <c r="L3" s="26"/>
      <c r="M3" s="27"/>
    </row>
    <row r="4" spans="2:17" ht="6.75" customHeight="1" x14ac:dyDescent="0.3">
      <c r="B4" s="39"/>
      <c r="C4" s="39"/>
      <c r="D4" s="39"/>
      <c r="E4" s="39"/>
      <c r="F4" s="39"/>
      <c r="G4" s="39"/>
      <c r="H4" s="39"/>
      <c r="I4" s="39"/>
      <c r="J4" s="39"/>
      <c r="K4" s="39"/>
    </row>
    <row r="5" spans="2:17" ht="17.25" customHeight="1" x14ac:dyDescent="0.3">
      <c r="C5" s="2" t="s">
        <v>144</v>
      </c>
    </row>
    <row r="6" spans="2:17" ht="33" customHeight="1" x14ac:dyDescent="0.3">
      <c r="D6" s="22" t="s">
        <v>43</v>
      </c>
      <c r="E6" s="34"/>
      <c r="F6" s="35" t="s">
        <v>1</v>
      </c>
      <c r="G6" s="34"/>
      <c r="H6" s="1"/>
      <c r="I6" s="22" t="s">
        <v>2</v>
      </c>
    </row>
    <row r="7" spans="2:17" x14ac:dyDescent="0.3">
      <c r="C7" s="1"/>
      <c r="D7" s="1">
        <v>6</v>
      </c>
      <c r="E7" s="1">
        <v>5</v>
      </c>
      <c r="F7" s="1">
        <v>4</v>
      </c>
      <c r="G7" s="1">
        <v>3</v>
      </c>
      <c r="H7" s="1">
        <v>2</v>
      </c>
      <c r="I7" s="1">
        <v>1</v>
      </c>
    </row>
    <row r="8" spans="2:17" x14ac:dyDescent="0.3">
      <c r="L8" s="29" t="s">
        <v>45</v>
      </c>
      <c r="M8" s="32" t="s">
        <v>146</v>
      </c>
    </row>
    <row r="9" spans="2:17" ht="5.25" customHeight="1" x14ac:dyDescent="0.3">
      <c r="L9" s="1"/>
      <c r="M9" s="1"/>
    </row>
    <row r="10" spans="2:17" x14ac:dyDescent="0.3">
      <c r="B10" s="3" t="s">
        <v>46</v>
      </c>
      <c r="C10" t="s">
        <v>3</v>
      </c>
      <c r="L10" s="30">
        <v>4</v>
      </c>
      <c r="M10" s="31"/>
      <c r="Q10" t="s">
        <v>44</v>
      </c>
    </row>
    <row r="11" spans="2:17" x14ac:dyDescent="0.3">
      <c r="B11" s="3" t="s">
        <v>47</v>
      </c>
      <c r="C11" t="s">
        <v>4</v>
      </c>
      <c r="L11" s="30">
        <v>5</v>
      </c>
      <c r="M11" s="31"/>
      <c r="P11">
        <v>6</v>
      </c>
    </row>
    <row r="12" spans="2:17" x14ac:dyDescent="0.3">
      <c r="B12" s="3" t="s">
        <v>48</v>
      </c>
      <c r="C12" t="s">
        <v>5</v>
      </c>
      <c r="L12" s="30">
        <v>4</v>
      </c>
      <c r="M12" s="31"/>
      <c r="P12">
        <v>5</v>
      </c>
    </row>
    <row r="13" spans="2:17" x14ac:dyDescent="0.3">
      <c r="B13" s="3" t="s">
        <v>49</v>
      </c>
      <c r="C13" t="s">
        <v>6</v>
      </c>
      <c r="L13" s="30">
        <v>5</v>
      </c>
      <c r="M13" s="31"/>
      <c r="P13">
        <v>4</v>
      </c>
    </row>
    <row r="14" spans="2:17" x14ac:dyDescent="0.3">
      <c r="B14" s="3" t="s">
        <v>50</v>
      </c>
      <c r="C14" t="s">
        <v>7</v>
      </c>
      <c r="L14" s="30">
        <v>5</v>
      </c>
      <c r="M14" s="31"/>
      <c r="P14">
        <v>3</v>
      </c>
    </row>
    <row r="15" spans="2:17" x14ac:dyDescent="0.3">
      <c r="B15" s="3" t="s">
        <v>51</v>
      </c>
      <c r="C15" t="s">
        <v>8</v>
      </c>
      <c r="L15" s="30">
        <v>5</v>
      </c>
      <c r="M15" s="31"/>
      <c r="P15">
        <v>2</v>
      </c>
    </row>
    <row r="16" spans="2:17" x14ac:dyDescent="0.3">
      <c r="B16" s="3" t="s">
        <v>52</v>
      </c>
      <c r="C16" t="s">
        <v>9</v>
      </c>
      <c r="L16" s="30">
        <v>5</v>
      </c>
      <c r="M16" s="31"/>
      <c r="P16">
        <v>1</v>
      </c>
    </row>
    <row r="17" spans="2:13" x14ac:dyDescent="0.3">
      <c r="B17" s="3" t="s">
        <v>53</v>
      </c>
      <c r="C17" t="s">
        <v>10</v>
      </c>
      <c r="L17" s="30">
        <v>4</v>
      </c>
      <c r="M17" s="31"/>
    </row>
    <row r="18" spans="2:13" x14ac:dyDescent="0.3">
      <c r="B18" s="3" t="s">
        <v>54</v>
      </c>
      <c r="C18" t="s">
        <v>11</v>
      </c>
      <c r="L18" s="30">
        <v>4</v>
      </c>
      <c r="M18" s="31"/>
    </row>
    <row r="19" spans="2:13" x14ac:dyDescent="0.3">
      <c r="B19" s="3" t="s">
        <v>55</v>
      </c>
      <c r="C19" t="s">
        <v>12</v>
      </c>
      <c r="L19" s="30">
        <v>4</v>
      </c>
      <c r="M19" s="31"/>
    </row>
    <row r="20" spans="2:13" x14ac:dyDescent="0.3">
      <c r="B20" s="3" t="s">
        <v>56</v>
      </c>
      <c r="C20" t="s">
        <v>13</v>
      </c>
      <c r="L20" s="30">
        <v>5</v>
      </c>
      <c r="M20" s="31"/>
    </row>
    <row r="21" spans="2:13" x14ac:dyDescent="0.3">
      <c r="B21" s="3" t="s">
        <v>57</v>
      </c>
      <c r="C21" t="s">
        <v>14</v>
      </c>
      <c r="L21" s="30">
        <v>4</v>
      </c>
      <c r="M21" s="31"/>
    </row>
    <row r="22" spans="2:13" x14ac:dyDescent="0.3">
      <c r="B22" s="3" t="s">
        <v>58</v>
      </c>
      <c r="C22" t="s">
        <v>15</v>
      </c>
      <c r="L22" s="30">
        <v>4</v>
      </c>
      <c r="M22" s="31"/>
    </row>
    <row r="23" spans="2:13" x14ac:dyDescent="0.3">
      <c r="B23" s="3" t="s">
        <v>59</v>
      </c>
      <c r="C23" t="s">
        <v>16</v>
      </c>
      <c r="L23" s="30">
        <v>5</v>
      </c>
      <c r="M23" s="31"/>
    </row>
    <row r="24" spans="2:13" x14ac:dyDescent="0.3">
      <c r="B24" s="3" t="s">
        <v>60</v>
      </c>
      <c r="C24" t="s">
        <v>17</v>
      </c>
      <c r="L24" s="30">
        <v>5</v>
      </c>
      <c r="M24" s="31"/>
    </row>
    <row r="25" spans="2:13" x14ac:dyDescent="0.3">
      <c r="B25" s="3" t="s">
        <v>61</v>
      </c>
      <c r="C25" t="s">
        <v>18</v>
      </c>
      <c r="L25" s="30">
        <v>5</v>
      </c>
      <c r="M25" s="31"/>
    </row>
    <row r="26" spans="2:13" x14ac:dyDescent="0.3">
      <c r="B26" s="3" t="s">
        <v>62</v>
      </c>
      <c r="C26" t="s">
        <v>19</v>
      </c>
      <c r="L26" s="30">
        <v>5</v>
      </c>
      <c r="M26" s="31"/>
    </row>
    <row r="27" spans="2:13" x14ac:dyDescent="0.3">
      <c r="B27" s="3" t="s">
        <v>63</v>
      </c>
      <c r="C27" t="s">
        <v>20</v>
      </c>
      <c r="L27" s="30">
        <v>4</v>
      </c>
      <c r="M27" s="31"/>
    </row>
    <row r="28" spans="2:13" x14ac:dyDescent="0.3">
      <c r="B28" s="3" t="s">
        <v>64</v>
      </c>
      <c r="C28" t="s">
        <v>21</v>
      </c>
      <c r="L28" s="30">
        <v>4</v>
      </c>
      <c r="M28" s="31"/>
    </row>
    <row r="29" spans="2:13" x14ac:dyDescent="0.3">
      <c r="B29" s="3" t="s">
        <v>65</v>
      </c>
      <c r="C29" t="s">
        <v>22</v>
      </c>
      <c r="L29" s="30">
        <v>5</v>
      </c>
      <c r="M29" s="31"/>
    </row>
    <row r="30" spans="2:13" x14ac:dyDescent="0.3">
      <c r="B30" s="3" t="s">
        <v>66</v>
      </c>
      <c r="C30" t="s">
        <v>23</v>
      </c>
      <c r="L30" s="30">
        <v>4</v>
      </c>
      <c r="M30" s="31"/>
    </row>
    <row r="31" spans="2:13" x14ac:dyDescent="0.3">
      <c r="B31" s="3" t="s">
        <v>67</v>
      </c>
      <c r="C31" t="s">
        <v>24</v>
      </c>
      <c r="L31" s="30">
        <v>5</v>
      </c>
      <c r="M31" s="31"/>
    </row>
    <row r="32" spans="2:13" x14ac:dyDescent="0.3">
      <c r="B32" s="3" t="s">
        <v>68</v>
      </c>
      <c r="C32" t="s">
        <v>25</v>
      </c>
      <c r="L32" s="30">
        <v>5</v>
      </c>
      <c r="M32" s="31"/>
    </row>
    <row r="33" spans="2:13" x14ac:dyDescent="0.3">
      <c r="B33" s="3" t="s">
        <v>69</v>
      </c>
      <c r="C33" t="s">
        <v>26</v>
      </c>
      <c r="L33" s="30">
        <v>5</v>
      </c>
      <c r="M33" s="31" t="s">
        <v>44</v>
      </c>
    </row>
    <row r="34" spans="2:13" x14ac:dyDescent="0.3">
      <c r="B34" s="3" t="s">
        <v>70</v>
      </c>
      <c r="C34" t="s">
        <v>27</v>
      </c>
      <c r="L34" s="30">
        <v>4</v>
      </c>
      <c r="M34" s="31"/>
    </row>
    <row r="35" spans="2:13" x14ac:dyDescent="0.3">
      <c r="B35" s="3" t="s">
        <v>71</v>
      </c>
      <c r="C35" t="s">
        <v>28</v>
      </c>
      <c r="L35" s="30">
        <v>4</v>
      </c>
      <c r="M35" s="31"/>
    </row>
    <row r="36" spans="2:13" x14ac:dyDescent="0.3">
      <c r="B36" s="3" t="s">
        <v>72</v>
      </c>
      <c r="C36" t="s">
        <v>29</v>
      </c>
      <c r="L36" s="30">
        <v>5</v>
      </c>
      <c r="M36" s="31"/>
    </row>
    <row r="37" spans="2:13" x14ac:dyDescent="0.3">
      <c r="B37" s="3" t="s">
        <v>73</v>
      </c>
      <c r="C37" t="s">
        <v>30</v>
      </c>
      <c r="L37" s="30">
        <v>4</v>
      </c>
      <c r="M37" s="31"/>
    </row>
    <row r="38" spans="2:13" x14ac:dyDescent="0.3">
      <c r="B38" s="3" t="s">
        <v>74</v>
      </c>
      <c r="C38" t="s">
        <v>31</v>
      </c>
      <c r="L38" s="30">
        <v>4</v>
      </c>
      <c r="M38" s="31"/>
    </row>
    <row r="39" spans="2:13" x14ac:dyDescent="0.3">
      <c r="B39" s="3" t="s">
        <v>75</v>
      </c>
      <c r="C39" t="s">
        <v>32</v>
      </c>
      <c r="L39" s="30">
        <v>5</v>
      </c>
      <c r="M39" s="31" t="s">
        <v>44</v>
      </c>
    </row>
    <row r="40" spans="2:13" x14ac:dyDescent="0.3">
      <c r="B40" s="3" t="s">
        <v>76</v>
      </c>
      <c r="C40" t="s">
        <v>33</v>
      </c>
      <c r="L40" s="30">
        <v>4</v>
      </c>
      <c r="M40" s="31"/>
    </row>
    <row r="41" spans="2:13" x14ac:dyDescent="0.3">
      <c r="B41" s="3" t="s">
        <v>77</v>
      </c>
      <c r="C41" t="s">
        <v>34</v>
      </c>
      <c r="L41" s="30">
        <v>5</v>
      </c>
      <c r="M41" s="31"/>
    </row>
    <row r="42" spans="2:13" x14ac:dyDescent="0.3">
      <c r="B42" s="3" t="s">
        <v>78</v>
      </c>
      <c r="C42" t="s">
        <v>35</v>
      </c>
      <c r="L42" s="30">
        <v>5</v>
      </c>
      <c r="M42" s="31" t="s">
        <v>44</v>
      </c>
    </row>
    <row r="43" spans="2:13" x14ac:dyDescent="0.3">
      <c r="B43" s="3" t="s">
        <v>79</v>
      </c>
      <c r="C43" t="s">
        <v>36</v>
      </c>
      <c r="L43" s="30">
        <v>5</v>
      </c>
      <c r="M43" s="31"/>
    </row>
    <row r="44" spans="2:13" x14ac:dyDescent="0.3">
      <c r="B44" s="3" t="s">
        <v>80</v>
      </c>
      <c r="C44" t="s">
        <v>37</v>
      </c>
      <c r="L44" s="30">
        <v>5</v>
      </c>
      <c r="M44" s="31"/>
    </row>
    <row r="45" spans="2:13" x14ac:dyDescent="0.3">
      <c r="B45" s="3" t="s">
        <v>81</v>
      </c>
      <c r="C45" t="s">
        <v>38</v>
      </c>
      <c r="L45" s="30">
        <v>4</v>
      </c>
      <c r="M45" s="31"/>
    </row>
    <row r="46" spans="2:13" x14ac:dyDescent="0.3">
      <c r="B46" s="3" t="s">
        <v>82</v>
      </c>
      <c r="C46" t="s">
        <v>39</v>
      </c>
      <c r="L46" s="30">
        <v>5</v>
      </c>
      <c r="M46" s="31"/>
    </row>
    <row r="47" spans="2:13" x14ac:dyDescent="0.3">
      <c r="B47" s="3" t="s">
        <v>83</v>
      </c>
      <c r="C47" t="s">
        <v>40</v>
      </c>
      <c r="L47" s="30">
        <v>4</v>
      </c>
      <c r="M47" s="31"/>
    </row>
    <row r="48" spans="2:13" x14ac:dyDescent="0.3">
      <c r="B48" s="3" t="s">
        <v>84</v>
      </c>
      <c r="C48" t="s">
        <v>41</v>
      </c>
      <c r="L48" s="30">
        <v>4</v>
      </c>
      <c r="M48" s="31"/>
    </row>
    <row r="49" spans="2:13" x14ac:dyDescent="0.3">
      <c r="B49" s="3" t="s">
        <v>85</v>
      </c>
      <c r="C49" t="s">
        <v>42</v>
      </c>
      <c r="L49" s="30">
        <v>4</v>
      </c>
      <c r="M49" s="31"/>
    </row>
    <row r="50" spans="2:13" ht="9" customHeight="1" x14ac:dyDescent="0.3"/>
    <row r="52" spans="2:13" ht="28.5" customHeight="1" x14ac:dyDescent="0.3">
      <c r="C52" s="38" t="s">
        <v>145</v>
      </c>
      <c r="D52" s="38"/>
      <c r="E52" s="38"/>
      <c r="F52" s="38"/>
      <c r="G52" s="38"/>
      <c r="H52" s="38"/>
      <c r="I52" s="38"/>
      <c r="J52" s="38"/>
      <c r="K52" s="38"/>
    </row>
    <row r="54" spans="2:13" x14ac:dyDescent="0.3">
      <c r="C54" s="38" t="s">
        <v>141</v>
      </c>
      <c r="D54" s="38"/>
      <c r="E54" s="38"/>
      <c r="F54" s="38"/>
      <c r="G54" s="38"/>
      <c r="H54" s="38"/>
      <c r="I54" s="38"/>
      <c r="J54" s="38"/>
      <c r="K54" s="38"/>
    </row>
  </sheetData>
  <sheetProtection selectLockedCells="1"/>
  <mergeCells count="3">
    <mergeCell ref="C52:K52"/>
    <mergeCell ref="C54:K54"/>
    <mergeCell ref="B3:K4"/>
  </mergeCells>
  <dataValidations count="4">
    <dataValidation type="list" allowBlank="1" showInputMessage="1" showErrorMessage="1" sqref="M10:M49">
      <formula1>$Q$10:$Q$11</formula1>
    </dataValidation>
    <dataValidation type="whole" allowBlank="1" showInputMessage="1" showErrorMessage="1" sqref="L8">
      <formula1>1</formula1>
      <formula2>6</formula2>
    </dataValidation>
    <dataValidation type="list" allowBlank="1" showInputMessage="1" showErrorMessage="1" sqref="L10:L49">
      <formula1>$P$10:$P$16</formula1>
    </dataValidation>
    <dataValidation type="list" allowBlank="1" showInputMessage="1" showErrorMessage="1" sqref="P10">
      <formula1>$P$11:$P$16</formula1>
    </dataValidation>
  </dataValidations>
  <pageMargins left="0.7" right="0.7" top="0.75" bottom="0.75" header="0.3" footer="0.3"/>
  <pageSetup paperSize="9" orientation="landscape" r:id="rId1"/>
  <rowBreaks count="1" manualBreakCount="1">
    <brk id="26" max="13" man="1"/>
  </rowBreaks>
  <ignoredErrors>
    <ignoredError sqref="B49 B10:B48"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27"/>
  <sheetViews>
    <sheetView showGridLines="0" showRowColHeaders="0" rightToLeft="1" tabSelected="1" zoomScaleNormal="100" workbookViewId="0">
      <selection activeCell="B1" sqref="B1"/>
    </sheetView>
  </sheetViews>
  <sheetFormatPr defaultRowHeight="14" x14ac:dyDescent="0.3"/>
  <cols>
    <col min="1" max="1" width="2.25" customWidth="1"/>
    <col min="2" max="2" width="7.1640625" customWidth="1"/>
    <col min="3" max="3" width="3.58203125" customWidth="1"/>
    <col min="4" max="4" width="5.58203125" customWidth="1"/>
    <col min="5" max="5" width="3.58203125" customWidth="1"/>
    <col min="6" max="6" width="5.58203125" customWidth="1"/>
    <col min="7" max="7" width="3.58203125" customWidth="1"/>
    <col min="8" max="8" width="5.58203125" customWidth="1"/>
    <col min="9" max="9" width="3.58203125" customWidth="1"/>
    <col min="10" max="10" width="5.58203125" customWidth="1"/>
    <col min="11" max="11" width="3.58203125" customWidth="1"/>
    <col min="12" max="12" width="5.58203125" customWidth="1"/>
    <col min="13" max="13" width="3.58203125" customWidth="1"/>
    <col min="14" max="14" width="5.58203125" customWidth="1"/>
    <col min="15" max="15" width="3.58203125" customWidth="1"/>
    <col min="16" max="16" width="5.58203125" customWidth="1"/>
    <col min="17" max="17" width="3.58203125" customWidth="1"/>
    <col min="18" max="18" width="5.58203125" customWidth="1"/>
    <col min="19" max="19" width="4" customWidth="1"/>
  </cols>
  <sheetData>
    <row r="1" spans="2:23" x14ac:dyDescent="0.3">
      <c r="G1" s="39" t="s">
        <v>0</v>
      </c>
      <c r="H1" s="39"/>
      <c r="I1" s="39"/>
      <c r="J1" s="39"/>
      <c r="K1" s="39"/>
      <c r="L1" s="39"/>
      <c r="M1" s="39"/>
      <c r="N1" s="39"/>
    </row>
    <row r="2" spans="2:23" x14ac:dyDescent="0.3">
      <c r="G2" s="39"/>
      <c r="H2" s="39"/>
      <c r="I2" s="39"/>
      <c r="J2" s="39"/>
      <c r="K2" s="39"/>
      <c r="L2" s="39"/>
      <c r="M2" s="39"/>
      <c r="N2" s="39"/>
      <c r="Q2" t="s">
        <v>140</v>
      </c>
      <c r="R2" s="51" t="str">
        <f>IF('עוגני קריירה'!L3="","",'עוגני קריירה'!L3)</f>
        <v/>
      </c>
      <c r="S2" s="51"/>
      <c r="T2" s="51"/>
    </row>
    <row r="3" spans="2:23" ht="17.25" customHeight="1" x14ac:dyDescent="0.3">
      <c r="G3" s="39"/>
      <c r="H3" s="39"/>
      <c r="I3" s="39"/>
      <c r="J3" s="39"/>
      <c r="K3" s="39"/>
      <c r="L3" s="39"/>
      <c r="M3" s="39"/>
      <c r="N3" s="39"/>
      <c r="O3" s="25"/>
      <c r="P3" s="25"/>
      <c r="Q3" s="25"/>
      <c r="R3" s="28"/>
    </row>
    <row r="4" spans="2:23" ht="17.25" customHeight="1" x14ac:dyDescent="0.3">
      <c r="G4" s="24"/>
      <c r="H4" s="24"/>
      <c r="I4" s="24"/>
      <c r="J4" s="24"/>
      <c r="K4" s="24"/>
      <c r="L4" s="24"/>
      <c r="M4" s="24"/>
      <c r="N4" s="24"/>
      <c r="O4" s="25"/>
      <c r="P4" s="25"/>
      <c r="Q4" s="25"/>
    </row>
    <row r="5" spans="2:23" ht="17.25" customHeight="1" thickBot="1" x14ac:dyDescent="0.35">
      <c r="G5" s="24"/>
      <c r="H5" s="24"/>
      <c r="I5" s="24"/>
      <c r="J5" s="24"/>
      <c r="K5" s="24"/>
      <c r="L5" s="24"/>
      <c r="M5" s="24"/>
      <c r="N5" s="24"/>
      <c r="O5" s="25"/>
      <c r="P5" s="25"/>
      <c r="Q5" s="25"/>
    </row>
    <row r="6" spans="2:23" ht="17.5" x14ac:dyDescent="0.3">
      <c r="C6" s="52" t="s">
        <v>86</v>
      </c>
      <c r="D6" s="53"/>
      <c r="E6" s="54" t="s">
        <v>87</v>
      </c>
      <c r="F6" s="55"/>
      <c r="G6" s="52" t="s">
        <v>88</v>
      </c>
      <c r="H6" s="53"/>
      <c r="I6" s="54" t="s">
        <v>89</v>
      </c>
      <c r="J6" s="55"/>
      <c r="K6" s="52" t="s">
        <v>90</v>
      </c>
      <c r="L6" s="53"/>
      <c r="M6" s="54" t="s">
        <v>91</v>
      </c>
      <c r="N6" s="55"/>
      <c r="O6" s="52" t="s">
        <v>92</v>
      </c>
      <c r="P6" s="53"/>
      <c r="Q6" s="54" t="s">
        <v>93</v>
      </c>
      <c r="R6" s="55"/>
    </row>
    <row r="7" spans="2:23" ht="15.5" x14ac:dyDescent="0.3">
      <c r="C7" s="12">
        <v>1</v>
      </c>
      <c r="D7" s="13">
        <f>'חישוב ביניים'!E3</f>
        <v>4</v>
      </c>
      <c r="E7" s="7">
        <v>2</v>
      </c>
      <c r="F7" s="8">
        <f>'חישוב ביניים'!E4</f>
        <v>5</v>
      </c>
      <c r="G7" s="12">
        <v>3</v>
      </c>
      <c r="H7" s="13">
        <f>'חישוב ביניים'!E5</f>
        <v>4</v>
      </c>
      <c r="I7" s="7">
        <v>4</v>
      </c>
      <c r="J7" s="8">
        <f>'חישוב ביניים'!E6</f>
        <v>5</v>
      </c>
      <c r="K7" s="12">
        <v>5</v>
      </c>
      <c r="L7" s="13">
        <f>'חישוב ביניים'!E7</f>
        <v>5</v>
      </c>
      <c r="M7" s="7">
        <v>6</v>
      </c>
      <c r="N7" s="8">
        <f>'חישוב ביניים'!E8</f>
        <v>5</v>
      </c>
      <c r="O7" s="12">
        <v>7</v>
      </c>
      <c r="P7" s="13">
        <f>'חישוב ביניים'!E9</f>
        <v>5</v>
      </c>
      <c r="Q7" s="7">
        <v>8</v>
      </c>
      <c r="R7" s="8">
        <f>'חישוב ביניים'!E10</f>
        <v>4</v>
      </c>
    </row>
    <row r="8" spans="2:23" ht="15.5" x14ac:dyDescent="0.3">
      <c r="C8" s="12">
        <v>9</v>
      </c>
      <c r="D8" s="13">
        <f>'חישוב ביניים'!E11</f>
        <v>4</v>
      </c>
      <c r="E8" s="7">
        <v>10</v>
      </c>
      <c r="F8" s="8">
        <f>'חישוב ביניים'!E12</f>
        <v>4</v>
      </c>
      <c r="G8" s="12">
        <v>11</v>
      </c>
      <c r="H8" s="13">
        <f>'חישוב ביניים'!E13</f>
        <v>5</v>
      </c>
      <c r="I8" s="7">
        <v>12</v>
      </c>
      <c r="J8" s="8">
        <f>'חישוב ביניים'!E14</f>
        <v>4</v>
      </c>
      <c r="K8" s="12">
        <v>13</v>
      </c>
      <c r="L8" s="13">
        <f>'חישוב ביניים'!E15</f>
        <v>4</v>
      </c>
      <c r="M8" s="7">
        <v>14</v>
      </c>
      <c r="N8" s="8">
        <f>'חישוב ביניים'!E16</f>
        <v>5</v>
      </c>
      <c r="O8" s="12">
        <v>15</v>
      </c>
      <c r="P8" s="13">
        <f>'חישוב ביניים'!E17</f>
        <v>5</v>
      </c>
      <c r="Q8" s="7">
        <v>16</v>
      </c>
      <c r="R8" s="8">
        <f>'חישוב ביניים'!E18</f>
        <v>5</v>
      </c>
    </row>
    <row r="9" spans="2:23" ht="15.5" x14ac:dyDescent="0.3">
      <c r="C9" s="12">
        <v>17</v>
      </c>
      <c r="D9" s="13">
        <f>'חישוב ביניים'!E19</f>
        <v>5</v>
      </c>
      <c r="E9" s="7">
        <v>18</v>
      </c>
      <c r="F9" s="8">
        <f>'חישוב ביניים'!E20</f>
        <v>4</v>
      </c>
      <c r="G9" s="12">
        <v>19</v>
      </c>
      <c r="H9" s="13">
        <f>'חישוב ביניים'!E21</f>
        <v>4</v>
      </c>
      <c r="I9" s="7">
        <v>20</v>
      </c>
      <c r="J9" s="8">
        <f>'חישוב ביניים'!E22</f>
        <v>5</v>
      </c>
      <c r="K9" s="12">
        <v>21</v>
      </c>
      <c r="L9" s="13">
        <f>'חישוב ביניים'!E23</f>
        <v>4</v>
      </c>
      <c r="M9" s="7">
        <v>22</v>
      </c>
      <c r="N9" s="8">
        <f>'חישוב ביניים'!E24</f>
        <v>5</v>
      </c>
      <c r="O9" s="12">
        <v>23</v>
      </c>
      <c r="P9" s="13">
        <f>'חישוב ביניים'!E25</f>
        <v>5</v>
      </c>
      <c r="Q9" s="7">
        <v>24</v>
      </c>
      <c r="R9" s="8">
        <f>'חישוב ביניים'!E26</f>
        <v>9</v>
      </c>
    </row>
    <row r="10" spans="2:23" ht="15.5" x14ac:dyDescent="0.3">
      <c r="C10" s="12">
        <v>25</v>
      </c>
      <c r="D10" s="13">
        <f>'חישוב ביניים'!E27</f>
        <v>4</v>
      </c>
      <c r="E10" s="7">
        <v>26</v>
      </c>
      <c r="F10" s="8">
        <f>'חישוב ביניים'!E28</f>
        <v>4</v>
      </c>
      <c r="G10" s="12">
        <v>27</v>
      </c>
      <c r="H10" s="13">
        <f>'חישוב ביניים'!E29</f>
        <v>5</v>
      </c>
      <c r="I10" s="7">
        <v>28</v>
      </c>
      <c r="J10" s="8">
        <f>'חישוב ביניים'!E30</f>
        <v>4</v>
      </c>
      <c r="K10" s="12">
        <v>29</v>
      </c>
      <c r="L10" s="13">
        <f>'חישוב ביניים'!E31</f>
        <v>4</v>
      </c>
      <c r="M10" s="7">
        <v>30</v>
      </c>
      <c r="N10" s="8">
        <f>'חישוב ביניים'!E32</f>
        <v>9</v>
      </c>
      <c r="O10" s="12">
        <v>31</v>
      </c>
      <c r="P10" s="13">
        <f>'חישוב ביניים'!E33</f>
        <v>4</v>
      </c>
      <c r="Q10" s="7">
        <v>32</v>
      </c>
      <c r="R10" s="8">
        <f>'חישוב ביניים'!E34</f>
        <v>5</v>
      </c>
    </row>
    <row r="11" spans="2:23" ht="15.5" x14ac:dyDescent="0.3">
      <c r="C11" s="14">
        <v>33</v>
      </c>
      <c r="D11" s="17">
        <f>'חישוב ביניים'!E35</f>
        <v>9</v>
      </c>
      <c r="E11" s="9">
        <v>34</v>
      </c>
      <c r="F11" s="8">
        <f>'חישוב ביניים'!E36</f>
        <v>5</v>
      </c>
      <c r="G11" s="14">
        <v>35</v>
      </c>
      <c r="H11" s="13">
        <f>'חישוב ביניים'!E37</f>
        <v>5</v>
      </c>
      <c r="I11" s="9">
        <v>36</v>
      </c>
      <c r="J11" s="8">
        <f>'חישוב ביניים'!E38</f>
        <v>4</v>
      </c>
      <c r="K11" s="14">
        <v>37</v>
      </c>
      <c r="L11" s="13">
        <f>'חישוב ביניים'!E39</f>
        <v>5</v>
      </c>
      <c r="M11" s="9">
        <v>38</v>
      </c>
      <c r="N11" s="8">
        <f>'חישוב ביניים'!E40</f>
        <v>4</v>
      </c>
      <c r="O11" s="14">
        <v>39</v>
      </c>
      <c r="P11" s="13">
        <f>'חישוב ביניים'!E41</f>
        <v>4</v>
      </c>
      <c r="Q11" s="9">
        <v>40</v>
      </c>
      <c r="R11" s="8">
        <f>'חישוב ביניים'!E42</f>
        <v>4</v>
      </c>
    </row>
    <row r="12" spans="2:23" x14ac:dyDescent="0.3">
      <c r="B12" s="23" t="s">
        <v>94</v>
      </c>
      <c r="C12" s="18"/>
      <c r="D12" s="13">
        <f>SUM(D7:D11)</f>
        <v>26</v>
      </c>
      <c r="E12" s="10"/>
      <c r="F12" s="8">
        <f>SUM(F7:F11)</f>
        <v>22</v>
      </c>
      <c r="G12" s="15"/>
      <c r="H12" s="13">
        <f>SUM(H7:H11)</f>
        <v>23</v>
      </c>
      <c r="I12" s="10"/>
      <c r="J12" s="8">
        <f>SUM(J7:J11)</f>
        <v>22</v>
      </c>
      <c r="K12" s="15"/>
      <c r="L12" s="13">
        <f>SUM(L7:L11)</f>
        <v>22</v>
      </c>
      <c r="M12" s="10"/>
      <c r="N12" s="8">
        <f>SUM(N7:N11)</f>
        <v>28</v>
      </c>
      <c r="O12" s="15"/>
      <c r="P12" s="13">
        <f>SUM(P7:P11)</f>
        <v>23</v>
      </c>
      <c r="Q12" s="10"/>
      <c r="R12" s="8">
        <f>SUM(R7:R11)</f>
        <v>27</v>
      </c>
    </row>
    <row r="13" spans="2:23" ht="14.5" thickBot="1" x14ac:dyDescent="0.35">
      <c r="B13" s="23" t="s">
        <v>95</v>
      </c>
      <c r="C13" s="19"/>
      <c r="D13" s="37">
        <f>D12/5</f>
        <v>5.2</v>
      </c>
      <c r="E13" s="11"/>
      <c r="F13" s="36">
        <f>F12/5</f>
        <v>4.4000000000000004</v>
      </c>
      <c r="G13" s="16"/>
      <c r="H13" s="36">
        <f>H12/5</f>
        <v>4.5999999999999996</v>
      </c>
      <c r="I13" s="11"/>
      <c r="J13" s="36">
        <f>J12/5</f>
        <v>4.4000000000000004</v>
      </c>
      <c r="K13" s="16"/>
      <c r="L13" s="36">
        <f>L12/5</f>
        <v>4.4000000000000004</v>
      </c>
      <c r="M13" s="11"/>
      <c r="N13" s="37">
        <f>N12/5</f>
        <v>5.6</v>
      </c>
      <c r="O13" s="16"/>
      <c r="P13" s="36">
        <f>P12/5</f>
        <v>4.5999999999999996</v>
      </c>
      <c r="Q13" s="11"/>
      <c r="R13" s="37">
        <f>R12/5</f>
        <v>5.4</v>
      </c>
    </row>
    <row r="15" spans="2:23" ht="14.5" thickBot="1" x14ac:dyDescent="0.35"/>
    <row r="16" spans="2:23" ht="15" customHeight="1" x14ac:dyDescent="0.3">
      <c r="B16" s="40" t="s">
        <v>142</v>
      </c>
      <c r="C16" s="41"/>
      <c r="D16" s="41"/>
      <c r="E16" s="41"/>
      <c r="F16" s="41"/>
      <c r="G16" s="41"/>
      <c r="H16" s="41"/>
      <c r="I16" s="41"/>
      <c r="J16" s="41"/>
      <c r="K16" s="41"/>
      <c r="L16" s="41"/>
      <c r="M16" s="41"/>
      <c r="N16" s="41"/>
      <c r="O16" s="41"/>
      <c r="P16" s="41"/>
      <c r="Q16" s="41"/>
      <c r="R16" s="41"/>
      <c r="S16" s="41"/>
      <c r="T16" s="41"/>
      <c r="U16" s="42"/>
      <c r="V16" s="33"/>
      <c r="W16" s="33"/>
    </row>
    <row r="17" spans="2:23" x14ac:dyDescent="0.3">
      <c r="B17" s="43"/>
      <c r="C17" s="44"/>
      <c r="D17" s="44"/>
      <c r="E17" s="44"/>
      <c r="F17" s="44"/>
      <c r="G17" s="44"/>
      <c r="H17" s="44"/>
      <c r="I17" s="44"/>
      <c r="J17" s="44"/>
      <c r="K17" s="44"/>
      <c r="L17" s="44"/>
      <c r="M17" s="44"/>
      <c r="N17" s="44"/>
      <c r="O17" s="44"/>
      <c r="P17" s="44"/>
      <c r="Q17" s="44"/>
      <c r="R17" s="44"/>
      <c r="S17" s="44"/>
      <c r="T17" s="44"/>
      <c r="U17" s="45"/>
      <c r="V17" s="33"/>
      <c r="W17" s="33"/>
    </row>
    <row r="18" spans="2:23" x14ac:dyDescent="0.3">
      <c r="B18" s="43"/>
      <c r="C18" s="44"/>
      <c r="D18" s="44"/>
      <c r="E18" s="44"/>
      <c r="F18" s="44"/>
      <c r="G18" s="44"/>
      <c r="H18" s="44"/>
      <c r="I18" s="44"/>
      <c r="J18" s="44"/>
      <c r="K18" s="44"/>
      <c r="L18" s="44"/>
      <c r="M18" s="44"/>
      <c r="N18" s="44"/>
      <c r="O18" s="44"/>
      <c r="P18" s="44"/>
      <c r="Q18" s="44"/>
      <c r="R18" s="44"/>
      <c r="S18" s="44"/>
      <c r="T18" s="44"/>
      <c r="U18" s="45"/>
      <c r="V18" s="33"/>
      <c r="W18" s="33"/>
    </row>
    <row r="19" spans="2:23" x14ac:dyDescent="0.3">
      <c r="B19" s="43"/>
      <c r="C19" s="44"/>
      <c r="D19" s="44"/>
      <c r="E19" s="44"/>
      <c r="F19" s="44"/>
      <c r="G19" s="44"/>
      <c r="H19" s="44"/>
      <c r="I19" s="44"/>
      <c r="J19" s="44"/>
      <c r="K19" s="44"/>
      <c r="L19" s="44"/>
      <c r="M19" s="44"/>
      <c r="N19" s="44"/>
      <c r="O19" s="44"/>
      <c r="P19" s="44"/>
      <c r="Q19" s="44"/>
      <c r="R19" s="44"/>
      <c r="S19" s="44"/>
      <c r="T19" s="44"/>
      <c r="U19" s="45"/>
      <c r="V19" s="33"/>
      <c r="W19" s="33"/>
    </row>
    <row r="20" spans="2:23" x14ac:dyDescent="0.3">
      <c r="B20" s="43"/>
      <c r="C20" s="44"/>
      <c r="D20" s="44"/>
      <c r="E20" s="44"/>
      <c r="F20" s="44"/>
      <c r="G20" s="44"/>
      <c r="H20" s="44"/>
      <c r="I20" s="44"/>
      <c r="J20" s="44"/>
      <c r="K20" s="44"/>
      <c r="L20" s="44"/>
      <c r="M20" s="44"/>
      <c r="N20" s="44"/>
      <c r="O20" s="44"/>
      <c r="P20" s="44"/>
      <c r="Q20" s="44"/>
      <c r="R20" s="44"/>
      <c r="S20" s="44"/>
      <c r="T20" s="44"/>
      <c r="U20" s="45"/>
      <c r="V20" s="33"/>
      <c r="W20" s="33"/>
    </row>
    <row r="21" spans="2:23" x14ac:dyDescent="0.3">
      <c r="B21" s="43"/>
      <c r="C21" s="44"/>
      <c r="D21" s="44"/>
      <c r="E21" s="44"/>
      <c r="F21" s="44"/>
      <c r="G21" s="44"/>
      <c r="H21" s="44"/>
      <c r="I21" s="44"/>
      <c r="J21" s="44"/>
      <c r="K21" s="44"/>
      <c r="L21" s="44"/>
      <c r="M21" s="44"/>
      <c r="N21" s="44"/>
      <c r="O21" s="44"/>
      <c r="P21" s="44"/>
      <c r="Q21" s="44"/>
      <c r="R21" s="44"/>
      <c r="S21" s="44"/>
      <c r="T21" s="44"/>
      <c r="U21" s="45"/>
      <c r="V21" s="33"/>
      <c r="W21" s="33"/>
    </row>
    <row r="22" spans="2:23" x14ac:dyDescent="0.3">
      <c r="B22" s="43"/>
      <c r="C22" s="44"/>
      <c r="D22" s="44"/>
      <c r="E22" s="44"/>
      <c r="F22" s="44"/>
      <c r="G22" s="44"/>
      <c r="H22" s="44"/>
      <c r="I22" s="44"/>
      <c r="J22" s="44"/>
      <c r="K22" s="44"/>
      <c r="L22" s="44"/>
      <c r="M22" s="44"/>
      <c r="N22" s="44"/>
      <c r="O22" s="44"/>
      <c r="P22" s="44"/>
      <c r="Q22" s="44"/>
      <c r="R22" s="44"/>
      <c r="S22" s="44"/>
      <c r="T22" s="44"/>
      <c r="U22" s="45"/>
    </row>
    <row r="23" spans="2:23" x14ac:dyDescent="0.3">
      <c r="B23" s="43"/>
      <c r="C23" s="44"/>
      <c r="D23" s="44"/>
      <c r="E23" s="44"/>
      <c r="F23" s="44"/>
      <c r="G23" s="44"/>
      <c r="H23" s="44"/>
      <c r="I23" s="44"/>
      <c r="J23" s="44"/>
      <c r="K23" s="44"/>
      <c r="L23" s="44"/>
      <c r="M23" s="44"/>
      <c r="N23" s="44"/>
      <c r="O23" s="44"/>
      <c r="P23" s="44"/>
      <c r="Q23" s="44"/>
      <c r="R23" s="44"/>
      <c r="S23" s="44"/>
      <c r="T23" s="44"/>
      <c r="U23" s="45"/>
    </row>
    <row r="24" spans="2:23" ht="14.5" thickBot="1" x14ac:dyDescent="0.35">
      <c r="B24" s="46"/>
      <c r="C24" s="47"/>
      <c r="D24" s="47"/>
      <c r="E24" s="47"/>
      <c r="F24" s="47"/>
      <c r="G24" s="47"/>
      <c r="H24" s="47"/>
      <c r="I24" s="47"/>
      <c r="J24" s="47"/>
      <c r="K24" s="47"/>
      <c r="L24" s="47"/>
      <c r="M24" s="47"/>
      <c r="N24" s="47"/>
      <c r="O24" s="47"/>
      <c r="P24" s="47"/>
      <c r="Q24" s="47"/>
      <c r="R24" s="47"/>
      <c r="S24" s="47"/>
      <c r="T24" s="47"/>
      <c r="U24" s="48"/>
    </row>
    <row r="27" spans="2:23" ht="15.5" x14ac:dyDescent="0.3">
      <c r="B27" s="49" t="s">
        <v>143</v>
      </c>
      <c r="C27" s="50"/>
      <c r="D27" s="50"/>
      <c r="E27" s="50"/>
      <c r="F27" s="50"/>
      <c r="G27" s="50"/>
      <c r="H27" s="50"/>
      <c r="I27" s="50"/>
      <c r="J27" s="50"/>
      <c r="K27" s="50"/>
      <c r="L27" s="50"/>
      <c r="M27" s="50"/>
    </row>
  </sheetData>
  <sheetProtection selectLockedCells="1"/>
  <mergeCells count="12">
    <mergeCell ref="B16:U24"/>
    <mergeCell ref="B27:M27"/>
    <mergeCell ref="G1:N3"/>
    <mergeCell ref="R2:T2"/>
    <mergeCell ref="O6:P6"/>
    <mergeCell ref="Q6:R6"/>
    <mergeCell ref="C6:D6"/>
    <mergeCell ref="E6:F6"/>
    <mergeCell ref="G6:H6"/>
    <mergeCell ref="I6:J6"/>
    <mergeCell ref="K6:L6"/>
    <mergeCell ref="M6:N6"/>
  </mergeCells>
  <pageMargins left="0.7" right="0.7" top="0.75" bottom="0.75" header="0.3" footer="0.3"/>
  <pageSetup paperSize="9" scale="8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2"/>
  <sheetViews>
    <sheetView showGridLines="0" showRowColHeaders="0" rightToLeft="1" workbookViewId="0">
      <pane ySplit="2" topLeftCell="A3" activePane="bottomLeft" state="frozen"/>
      <selection pane="bottomLeft" activeCell="G9" sqref="G9"/>
    </sheetView>
  </sheetViews>
  <sheetFormatPr defaultRowHeight="14" x14ac:dyDescent="0.3"/>
  <cols>
    <col min="1" max="1" width="1.4140625" customWidth="1"/>
    <col min="2" max="2" width="5.4140625" bestFit="1" customWidth="1"/>
    <col min="8" max="23" width="3.58203125" customWidth="1"/>
  </cols>
  <sheetData>
    <row r="1" spans="2:23" ht="9" customHeight="1" x14ac:dyDescent="0.3"/>
    <row r="2" spans="2:23" x14ac:dyDescent="0.3">
      <c r="B2" s="21" t="s">
        <v>99</v>
      </c>
      <c r="C2" s="21" t="s">
        <v>96</v>
      </c>
      <c r="D2" s="21" t="s">
        <v>97</v>
      </c>
      <c r="E2" s="21" t="s">
        <v>98</v>
      </c>
      <c r="F2" s="21"/>
    </row>
    <row r="3" spans="2:23" x14ac:dyDescent="0.3">
      <c r="B3" s="20" t="s">
        <v>119</v>
      </c>
      <c r="C3" s="4">
        <f>'עוגני קריירה'!L10</f>
        <v>4</v>
      </c>
      <c r="D3" s="4">
        <f>IF('עוגני קריירה'!M10="נכון ביותר לגבי",4,0)</f>
        <v>0</v>
      </c>
      <c r="E3" s="4">
        <f>C3+D3</f>
        <v>4</v>
      </c>
      <c r="F3" s="4" t="s">
        <v>86</v>
      </c>
    </row>
    <row r="4" spans="2:23" x14ac:dyDescent="0.3">
      <c r="B4" s="20" t="s">
        <v>120</v>
      </c>
      <c r="C4" s="4">
        <f>'עוגני קריירה'!L11</f>
        <v>5</v>
      </c>
      <c r="D4" s="4">
        <f>IF('עוגני קריירה'!M11="נכון ביותר לגבי",4,0)</f>
        <v>0</v>
      </c>
      <c r="E4" s="4">
        <f t="shared" ref="E4:E42" si="0">C4+D4</f>
        <v>5</v>
      </c>
      <c r="F4" s="4" t="s">
        <v>87</v>
      </c>
    </row>
    <row r="5" spans="2:23" ht="17.5" x14ac:dyDescent="0.3">
      <c r="B5" s="20" t="s">
        <v>100</v>
      </c>
      <c r="C5" s="4">
        <f>'עוגני קריירה'!L12</f>
        <v>4</v>
      </c>
      <c r="D5" s="4">
        <f>IF('עוגני קריירה'!M12="נכון ביותר לגבי",4,0)</f>
        <v>0</v>
      </c>
      <c r="E5" s="4">
        <f t="shared" si="0"/>
        <v>4</v>
      </c>
      <c r="F5" s="4" t="s">
        <v>88</v>
      </c>
      <c r="H5" s="56"/>
      <c r="I5" s="56"/>
      <c r="J5" s="56"/>
      <c r="K5" s="56"/>
      <c r="L5" s="56"/>
      <c r="M5" s="56"/>
      <c r="N5" s="56"/>
      <c r="O5" s="56"/>
      <c r="P5" s="56"/>
      <c r="Q5" s="56"/>
      <c r="R5" s="56"/>
      <c r="S5" s="56"/>
      <c r="T5" s="56"/>
      <c r="U5" s="56"/>
      <c r="V5" s="56"/>
      <c r="W5" s="56"/>
    </row>
    <row r="6" spans="2:23" ht="15.5" x14ac:dyDescent="0.3">
      <c r="B6" s="20" t="s">
        <v>101</v>
      </c>
      <c r="C6" s="4">
        <f>'עוגני קריירה'!L13</f>
        <v>5</v>
      </c>
      <c r="D6" s="4">
        <f>IF('עוגני קריירה'!M13="נכון ביותר לגבי",4,0)</f>
        <v>0</v>
      </c>
      <c r="E6" s="4">
        <f t="shared" si="0"/>
        <v>5</v>
      </c>
      <c r="F6" s="4" t="s">
        <v>89</v>
      </c>
      <c r="H6" s="5"/>
      <c r="I6" s="6"/>
      <c r="J6" s="5"/>
      <c r="K6" s="6"/>
      <c r="L6" s="5"/>
      <c r="M6" s="6"/>
      <c r="N6" s="5"/>
      <c r="O6" s="6"/>
      <c r="P6" s="5"/>
      <c r="Q6" s="6"/>
      <c r="R6" s="5"/>
      <c r="S6" s="6"/>
      <c r="T6" s="5"/>
      <c r="U6" s="6"/>
      <c r="V6" s="5"/>
      <c r="W6" s="6"/>
    </row>
    <row r="7" spans="2:23" ht="15.5" x14ac:dyDescent="0.3">
      <c r="B7" s="20" t="s">
        <v>102</v>
      </c>
      <c r="C7" s="4">
        <f>'עוגני קריירה'!L14</f>
        <v>5</v>
      </c>
      <c r="D7" s="4">
        <f>IF('עוגני קריירה'!M14="נכון ביותר לגבי",4,0)</f>
        <v>0</v>
      </c>
      <c r="E7" s="4">
        <f t="shared" si="0"/>
        <v>5</v>
      </c>
      <c r="F7" s="4" t="s">
        <v>90</v>
      </c>
      <c r="H7" s="5"/>
      <c r="I7" s="6"/>
      <c r="J7" s="5"/>
      <c r="K7" s="6"/>
      <c r="L7" s="5"/>
      <c r="M7" s="6"/>
      <c r="N7" s="5"/>
      <c r="O7" s="6"/>
      <c r="P7" s="5"/>
      <c r="Q7" s="6"/>
      <c r="R7" s="5"/>
      <c r="S7" s="6"/>
      <c r="T7" s="5"/>
      <c r="U7" s="6"/>
      <c r="V7" s="5"/>
      <c r="W7" s="6"/>
    </row>
    <row r="8" spans="2:23" ht="15.5" x14ac:dyDescent="0.3">
      <c r="B8" s="20" t="s">
        <v>103</v>
      </c>
      <c r="C8" s="4">
        <f>'עוגני קריירה'!L15</f>
        <v>5</v>
      </c>
      <c r="D8" s="4">
        <f>IF('עוגני קריירה'!M15="נכון ביותר לגבי",4,0)</f>
        <v>0</v>
      </c>
      <c r="E8" s="4">
        <f t="shared" si="0"/>
        <v>5</v>
      </c>
      <c r="F8" s="4" t="s">
        <v>91</v>
      </c>
      <c r="H8" s="5"/>
      <c r="I8" s="6"/>
      <c r="J8" s="5"/>
      <c r="K8" s="6"/>
      <c r="L8" s="5"/>
      <c r="M8" s="6"/>
      <c r="N8" s="5"/>
      <c r="O8" s="6"/>
      <c r="P8" s="5"/>
      <c r="Q8" s="6"/>
      <c r="R8" s="5"/>
      <c r="S8" s="6"/>
      <c r="T8" s="5"/>
      <c r="U8" s="6"/>
      <c r="V8" s="5"/>
      <c r="W8" s="6"/>
    </row>
    <row r="9" spans="2:23" ht="15.5" x14ac:dyDescent="0.3">
      <c r="B9" s="20" t="s">
        <v>104</v>
      </c>
      <c r="C9" s="4">
        <f>'עוגני קריירה'!L16</f>
        <v>5</v>
      </c>
      <c r="D9" s="4">
        <f>IF('עוגני קריירה'!M16="נכון ביותר לגבי",4,0)</f>
        <v>0</v>
      </c>
      <c r="E9" s="4">
        <f t="shared" si="0"/>
        <v>5</v>
      </c>
      <c r="F9" s="4" t="s">
        <v>92</v>
      </c>
      <c r="H9" s="5"/>
      <c r="I9" s="6"/>
      <c r="J9" s="5"/>
      <c r="K9" s="6"/>
      <c r="L9" s="5"/>
      <c r="M9" s="6"/>
      <c r="N9" s="5"/>
      <c r="O9" s="6"/>
      <c r="P9" s="5"/>
      <c r="Q9" s="6"/>
      <c r="R9" s="5"/>
      <c r="S9" s="6"/>
      <c r="T9" s="5"/>
      <c r="U9" s="6"/>
      <c r="V9" s="5"/>
      <c r="W9" s="6"/>
    </row>
    <row r="10" spans="2:23" ht="15.5" x14ac:dyDescent="0.3">
      <c r="B10" s="20" t="s">
        <v>105</v>
      </c>
      <c r="C10" s="4">
        <f>'עוגני קריירה'!L17</f>
        <v>4</v>
      </c>
      <c r="D10" s="4">
        <f>IF('עוגני קריירה'!M17="נכון ביותר לגבי",4,0)</f>
        <v>0</v>
      </c>
      <c r="E10" s="4">
        <f t="shared" si="0"/>
        <v>4</v>
      </c>
      <c r="F10" s="4" t="s">
        <v>93</v>
      </c>
      <c r="H10" s="5"/>
      <c r="I10" s="6"/>
      <c r="J10" s="5"/>
      <c r="K10" s="6"/>
      <c r="L10" s="5"/>
      <c r="M10" s="6"/>
      <c r="N10" s="5"/>
      <c r="O10" s="6"/>
      <c r="P10" s="5"/>
      <c r="Q10" s="6"/>
      <c r="R10" s="5"/>
      <c r="S10" s="6"/>
      <c r="T10" s="5"/>
      <c r="U10" s="6"/>
      <c r="V10" s="5"/>
      <c r="W10" s="6"/>
    </row>
    <row r="11" spans="2:23" x14ac:dyDescent="0.3">
      <c r="B11" s="20" t="s">
        <v>106</v>
      </c>
      <c r="C11" s="4">
        <f>'עוגני קריירה'!L18</f>
        <v>4</v>
      </c>
      <c r="D11" s="4">
        <f>IF('עוגני קריירה'!M18="נכון ביותר לגבי",4,0)</f>
        <v>0</v>
      </c>
      <c r="E11" s="4">
        <f t="shared" si="0"/>
        <v>4</v>
      </c>
      <c r="F11" s="4" t="s">
        <v>86</v>
      </c>
    </row>
    <row r="12" spans="2:23" x14ac:dyDescent="0.3">
      <c r="B12" s="20" t="s">
        <v>107</v>
      </c>
      <c r="C12" s="4">
        <f>'עוגני קריירה'!L19</f>
        <v>4</v>
      </c>
      <c r="D12" s="4">
        <f>IF('עוגני קריירה'!M19="נכון ביותר לגבי",4,0)</f>
        <v>0</v>
      </c>
      <c r="E12" s="4">
        <f t="shared" si="0"/>
        <v>4</v>
      </c>
      <c r="F12" s="4" t="s">
        <v>87</v>
      </c>
    </row>
    <row r="13" spans="2:23" x14ac:dyDescent="0.3">
      <c r="B13" s="20" t="s">
        <v>108</v>
      </c>
      <c r="C13" s="4">
        <f>'עוגני קריירה'!L20</f>
        <v>5</v>
      </c>
      <c r="D13" s="4">
        <f>IF('עוגני קריירה'!M20="נכון ביותר לגבי",4,0)</f>
        <v>0</v>
      </c>
      <c r="E13" s="4">
        <f t="shared" si="0"/>
        <v>5</v>
      </c>
      <c r="F13" s="4" t="s">
        <v>88</v>
      </c>
    </row>
    <row r="14" spans="2:23" x14ac:dyDescent="0.3">
      <c r="B14" s="20" t="s">
        <v>109</v>
      </c>
      <c r="C14" s="4">
        <f>'עוגני קריירה'!L21</f>
        <v>4</v>
      </c>
      <c r="D14" s="4">
        <f>IF('עוגני קריירה'!M21="נכון ביותר לגבי",4,0)</f>
        <v>0</v>
      </c>
      <c r="E14" s="4">
        <f t="shared" si="0"/>
        <v>4</v>
      </c>
      <c r="F14" s="4" t="s">
        <v>89</v>
      </c>
    </row>
    <row r="15" spans="2:23" x14ac:dyDescent="0.3">
      <c r="B15" s="20" t="s">
        <v>110</v>
      </c>
      <c r="C15" s="4">
        <f>'עוגני קריירה'!L22</f>
        <v>4</v>
      </c>
      <c r="D15" s="4">
        <f>IF('עוגני קריירה'!M22="נכון ביותר לגבי",4,0)</f>
        <v>0</v>
      </c>
      <c r="E15" s="4">
        <f t="shared" si="0"/>
        <v>4</v>
      </c>
      <c r="F15" s="4" t="s">
        <v>90</v>
      </c>
    </row>
    <row r="16" spans="2:23" x14ac:dyDescent="0.3">
      <c r="B16" s="20" t="s">
        <v>111</v>
      </c>
      <c r="C16" s="4">
        <f>'עוגני קריירה'!L23</f>
        <v>5</v>
      </c>
      <c r="D16" s="4">
        <f>IF('עוגני קריירה'!M23="נכון ביותר לגבי",4,0)</f>
        <v>0</v>
      </c>
      <c r="E16" s="4">
        <f t="shared" si="0"/>
        <v>5</v>
      </c>
      <c r="F16" s="4" t="s">
        <v>91</v>
      </c>
    </row>
    <row r="17" spans="2:6" x14ac:dyDescent="0.3">
      <c r="B17" s="20" t="s">
        <v>112</v>
      </c>
      <c r="C17" s="4">
        <f>'עוגני קריירה'!L24</f>
        <v>5</v>
      </c>
      <c r="D17" s="4">
        <f>IF('עוגני קריירה'!M24="נכון ביותר לגבי",4,0)</f>
        <v>0</v>
      </c>
      <c r="E17" s="4">
        <f t="shared" si="0"/>
        <v>5</v>
      </c>
      <c r="F17" s="4" t="s">
        <v>92</v>
      </c>
    </row>
    <row r="18" spans="2:6" x14ac:dyDescent="0.3">
      <c r="B18" s="20" t="s">
        <v>113</v>
      </c>
      <c r="C18" s="4">
        <f>'עוגני קריירה'!L25</f>
        <v>5</v>
      </c>
      <c r="D18" s="4">
        <f>IF('עוגני קריירה'!M25="נכון ביותר לגבי",4,0)</f>
        <v>0</v>
      </c>
      <c r="E18" s="4">
        <f t="shared" si="0"/>
        <v>5</v>
      </c>
      <c r="F18" s="4" t="s">
        <v>93</v>
      </c>
    </row>
    <row r="19" spans="2:6" x14ac:dyDescent="0.3">
      <c r="B19" s="20" t="s">
        <v>114</v>
      </c>
      <c r="C19" s="4">
        <f>'עוגני קריירה'!L26</f>
        <v>5</v>
      </c>
      <c r="D19" s="4">
        <f>IF('עוגני קריירה'!M26="נכון ביותר לגבי",4,0)</f>
        <v>0</v>
      </c>
      <c r="E19" s="4">
        <f t="shared" si="0"/>
        <v>5</v>
      </c>
      <c r="F19" s="4" t="s">
        <v>86</v>
      </c>
    </row>
    <row r="20" spans="2:6" x14ac:dyDescent="0.3">
      <c r="B20" s="20" t="s">
        <v>115</v>
      </c>
      <c r="C20" s="4">
        <f>'עוגני קריירה'!L27</f>
        <v>4</v>
      </c>
      <c r="D20" s="4">
        <f>IF('עוגני קריירה'!M27="נכון ביותר לגבי",4,0)</f>
        <v>0</v>
      </c>
      <c r="E20" s="4">
        <f t="shared" si="0"/>
        <v>4</v>
      </c>
      <c r="F20" s="4" t="s">
        <v>87</v>
      </c>
    </row>
    <row r="21" spans="2:6" x14ac:dyDescent="0.3">
      <c r="B21" s="20" t="s">
        <v>116</v>
      </c>
      <c r="C21" s="4">
        <f>'עוגני קריירה'!L28</f>
        <v>4</v>
      </c>
      <c r="D21" s="4">
        <f>IF('עוגני קריירה'!M28="נכון ביותר לגבי",4,0)</f>
        <v>0</v>
      </c>
      <c r="E21" s="4">
        <f t="shared" si="0"/>
        <v>4</v>
      </c>
      <c r="F21" s="4" t="s">
        <v>88</v>
      </c>
    </row>
    <row r="22" spans="2:6" x14ac:dyDescent="0.3">
      <c r="B22" s="20" t="s">
        <v>117</v>
      </c>
      <c r="C22" s="4">
        <f>'עוגני קריירה'!L29</f>
        <v>5</v>
      </c>
      <c r="D22" s="4">
        <f>IF('עוגני קריירה'!M29="נכון ביותר לגבי",4,0)</f>
        <v>0</v>
      </c>
      <c r="E22" s="4">
        <f t="shared" si="0"/>
        <v>5</v>
      </c>
      <c r="F22" s="4" t="s">
        <v>89</v>
      </c>
    </row>
    <row r="23" spans="2:6" x14ac:dyDescent="0.3">
      <c r="B23" s="20" t="s">
        <v>118</v>
      </c>
      <c r="C23" s="4">
        <f>'עוגני קריירה'!L30</f>
        <v>4</v>
      </c>
      <c r="D23" s="4">
        <f>IF('עוגני קריירה'!M30="נכון ביותר לגבי",4,0)</f>
        <v>0</v>
      </c>
      <c r="E23" s="4">
        <f t="shared" si="0"/>
        <v>4</v>
      </c>
      <c r="F23" s="4" t="s">
        <v>90</v>
      </c>
    </row>
    <row r="24" spans="2:6" x14ac:dyDescent="0.3">
      <c r="B24" s="20" t="s">
        <v>121</v>
      </c>
      <c r="C24" s="4">
        <f>'עוגני קריירה'!L31</f>
        <v>5</v>
      </c>
      <c r="D24" s="4">
        <f>IF('עוגני קריירה'!M31="נכון ביותר לגבי",4,0)</f>
        <v>0</v>
      </c>
      <c r="E24" s="4">
        <f t="shared" si="0"/>
        <v>5</v>
      </c>
      <c r="F24" s="4" t="s">
        <v>91</v>
      </c>
    </row>
    <row r="25" spans="2:6" x14ac:dyDescent="0.3">
      <c r="B25" s="20" t="s">
        <v>122</v>
      </c>
      <c r="C25" s="4">
        <f>'עוגני קריירה'!L32</f>
        <v>5</v>
      </c>
      <c r="D25" s="4">
        <f>IF('עוגני קריירה'!M32="נכון ביותר לגבי",4,0)</f>
        <v>0</v>
      </c>
      <c r="E25" s="4">
        <f t="shared" si="0"/>
        <v>5</v>
      </c>
      <c r="F25" s="4" t="s">
        <v>92</v>
      </c>
    </row>
    <row r="26" spans="2:6" x14ac:dyDescent="0.3">
      <c r="B26" s="20" t="s">
        <v>123</v>
      </c>
      <c r="C26" s="4">
        <f>'עוגני קריירה'!L33</f>
        <v>5</v>
      </c>
      <c r="D26" s="4">
        <f>IF('עוגני קריירה'!M33="נכון ביותר לגבי",4,0)</f>
        <v>4</v>
      </c>
      <c r="E26" s="4">
        <f t="shared" si="0"/>
        <v>9</v>
      </c>
      <c r="F26" s="4" t="s">
        <v>93</v>
      </c>
    </row>
    <row r="27" spans="2:6" x14ac:dyDescent="0.3">
      <c r="B27" s="20" t="s">
        <v>124</v>
      </c>
      <c r="C27" s="4">
        <f>'עוגני קריירה'!L34</f>
        <v>4</v>
      </c>
      <c r="D27" s="4">
        <f>IF('עוגני קריירה'!M34="נכון ביותר לגבי",4,0)</f>
        <v>0</v>
      </c>
      <c r="E27" s="4">
        <f t="shared" si="0"/>
        <v>4</v>
      </c>
      <c r="F27" s="4" t="s">
        <v>86</v>
      </c>
    </row>
    <row r="28" spans="2:6" x14ac:dyDescent="0.3">
      <c r="B28" s="20" t="s">
        <v>125</v>
      </c>
      <c r="C28" s="4">
        <f>'עוגני קריירה'!L35</f>
        <v>4</v>
      </c>
      <c r="D28" s="4">
        <f>IF('עוגני קריירה'!M35="נכון ביותר לגבי",4,0)</f>
        <v>0</v>
      </c>
      <c r="E28" s="4">
        <f t="shared" si="0"/>
        <v>4</v>
      </c>
      <c r="F28" s="4" t="s">
        <v>87</v>
      </c>
    </row>
    <row r="29" spans="2:6" x14ac:dyDescent="0.3">
      <c r="B29" s="20" t="s">
        <v>126</v>
      </c>
      <c r="C29" s="4">
        <f>'עוגני קריירה'!L36</f>
        <v>5</v>
      </c>
      <c r="D29" s="4">
        <f>IF('עוגני קריירה'!M36="נכון ביותר לגבי",4,0)</f>
        <v>0</v>
      </c>
      <c r="E29" s="4">
        <f t="shared" si="0"/>
        <v>5</v>
      </c>
      <c r="F29" s="4" t="s">
        <v>88</v>
      </c>
    </row>
    <row r="30" spans="2:6" x14ac:dyDescent="0.3">
      <c r="B30" s="20" t="s">
        <v>127</v>
      </c>
      <c r="C30" s="4">
        <f>'עוגני קריירה'!L37</f>
        <v>4</v>
      </c>
      <c r="D30" s="4">
        <f>IF('עוגני קריירה'!M37="נכון ביותר לגבי",4,0)</f>
        <v>0</v>
      </c>
      <c r="E30" s="4">
        <f t="shared" si="0"/>
        <v>4</v>
      </c>
      <c r="F30" s="4" t="s">
        <v>89</v>
      </c>
    </row>
    <row r="31" spans="2:6" x14ac:dyDescent="0.3">
      <c r="B31" s="20" t="s">
        <v>128</v>
      </c>
      <c r="C31" s="4">
        <f>'עוגני קריירה'!L38</f>
        <v>4</v>
      </c>
      <c r="D31" s="4">
        <f>IF('עוגני קריירה'!M38="נכון ביותר לגבי",4,0)</f>
        <v>0</v>
      </c>
      <c r="E31" s="4">
        <f t="shared" si="0"/>
        <v>4</v>
      </c>
      <c r="F31" s="4" t="s">
        <v>90</v>
      </c>
    </row>
    <row r="32" spans="2:6" x14ac:dyDescent="0.3">
      <c r="B32" s="20" t="s">
        <v>129</v>
      </c>
      <c r="C32" s="4">
        <f>'עוגני קריירה'!L39</f>
        <v>5</v>
      </c>
      <c r="D32" s="4">
        <f>IF('עוגני קריירה'!M39="נכון ביותר לגבי",4,0)</f>
        <v>4</v>
      </c>
      <c r="E32" s="4">
        <f t="shared" si="0"/>
        <v>9</v>
      </c>
      <c r="F32" s="4" t="s">
        <v>91</v>
      </c>
    </row>
    <row r="33" spans="2:6" x14ac:dyDescent="0.3">
      <c r="B33" s="20" t="s">
        <v>130</v>
      </c>
      <c r="C33" s="4">
        <f>'עוגני קריירה'!L40</f>
        <v>4</v>
      </c>
      <c r="D33" s="4">
        <f>IF('עוגני קריירה'!M40="נכון ביותר לגבי",4,0)</f>
        <v>0</v>
      </c>
      <c r="E33" s="4">
        <f t="shared" si="0"/>
        <v>4</v>
      </c>
      <c r="F33" s="4" t="s">
        <v>92</v>
      </c>
    </row>
    <row r="34" spans="2:6" x14ac:dyDescent="0.3">
      <c r="B34" s="20" t="s">
        <v>131</v>
      </c>
      <c r="C34" s="4">
        <f>'עוגני קריירה'!L41</f>
        <v>5</v>
      </c>
      <c r="D34" s="4">
        <f>IF('עוגני קריירה'!M41="נכון ביותר לגבי",4,0)</f>
        <v>0</v>
      </c>
      <c r="E34" s="4">
        <f t="shared" si="0"/>
        <v>5</v>
      </c>
      <c r="F34" s="4" t="s">
        <v>93</v>
      </c>
    </row>
    <row r="35" spans="2:6" x14ac:dyDescent="0.3">
      <c r="B35" s="20" t="s">
        <v>132</v>
      </c>
      <c r="C35" s="4">
        <f>'עוגני קריירה'!L42</f>
        <v>5</v>
      </c>
      <c r="D35" s="4">
        <f>IF('עוגני קריירה'!M42="נכון ביותר לגבי",4,0)</f>
        <v>4</v>
      </c>
      <c r="E35" s="4">
        <f t="shared" si="0"/>
        <v>9</v>
      </c>
      <c r="F35" s="4" t="s">
        <v>86</v>
      </c>
    </row>
    <row r="36" spans="2:6" x14ac:dyDescent="0.3">
      <c r="B36" s="20" t="s">
        <v>133</v>
      </c>
      <c r="C36" s="4">
        <f>'עוגני קריירה'!L43</f>
        <v>5</v>
      </c>
      <c r="D36" s="4">
        <f>IF('עוגני קריירה'!M43="נכון ביותר לגבי",4,0)</f>
        <v>0</v>
      </c>
      <c r="E36" s="4">
        <f t="shared" si="0"/>
        <v>5</v>
      </c>
      <c r="F36" s="4" t="s">
        <v>87</v>
      </c>
    </row>
    <row r="37" spans="2:6" x14ac:dyDescent="0.3">
      <c r="B37" s="20" t="s">
        <v>134</v>
      </c>
      <c r="C37" s="4">
        <f>'עוגני קריירה'!L44</f>
        <v>5</v>
      </c>
      <c r="D37" s="4">
        <f>IF('עוגני קריירה'!M44="נכון ביותר לגבי",4,0)</f>
        <v>0</v>
      </c>
      <c r="E37" s="4">
        <f t="shared" si="0"/>
        <v>5</v>
      </c>
      <c r="F37" s="4" t="s">
        <v>88</v>
      </c>
    </row>
    <row r="38" spans="2:6" x14ac:dyDescent="0.3">
      <c r="B38" s="20" t="s">
        <v>135</v>
      </c>
      <c r="C38" s="4">
        <f>'עוגני קריירה'!L45</f>
        <v>4</v>
      </c>
      <c r="D38" s="4">
        <f>IF('עוגני קריירה'!M45="נכון ביותר לגבי",4,0)</f>
        <v>0</v>
      </c>
      <c r="E38" s="4">
        <f t="shared" si="0"/>
        <v>4</v>
      </c>
      <c r="F38" s="4" t="s">
        <v>89</v>
      </c>
    </row>
    <row r="39" spans="2:6" x14ac:dyDescent="0.3">
      <c r="B39" s="20" t="s">
        <v>136</v>
      </c>
      <c r="C39" s="4">
        <f>'עוגני קריירה'!L46</f>
        <v>5</v>
      </c>
      <c r="D39" s="4">
        <f>IF('עוגני קריירה'!M46="נכון ביותר לגבי",4,0)</f>
        <v>0</v>
      </c>
      <c r="E39" s="4">
        <f t="shared" si="0"/>
        <v>5</v>
      </c>
      <c r="F39" s="4" t="s">
        <v>90</v>
      </c>
    </row>
    <row r="40" spans="2:6" x14ac:dyDescent="0.3">
      <c r="B40" s="20" t="s">
        <v>137</v>
      </c>
      <c r="C40" s="4">
        <f>'עוגני קריירה'!L47</f>
        <v>4</v>
      </c>
      <c r="D40" s="4">
        <f>IF('עוגני קריירה'!M47="נכון ביותר לגבי",4,0)</f>
        <v>0</v>
      </c>
      <c r="E40" s="4">
        <f t="shared" si="0"/>
        <v>4</v>
      </c>
      <c r="F40" s="4" t="s">
        <v>91</v>
      </c>
    </row>
    <row r="41" spans="2:6" x14ac:dyDescent="0.3">
      <c r="B41" s="20" t="s">
        <v>138</v>
      </c>
      <c r="C41" s="4">
        <f>'עוגני קריירה'!L48</f>
        <v>4</v>
      </c>
      <c r="D41" s="4">
        <f>IF('עוגני קריירה'!M48="נכון ביותר לגבי",4,0)</f>
        <v>0</v>
      </c>
      <c r="E41" s="4">
        <f t="shared" si="0"/>
        <v>4</v>
      </c>
      <c r="F41" s="4" t="s">
        <v>92</v>
      </c>
    </row>
    <row r="42" spans="2:6" x14ac:dyDescent="0.3">
      <c r="B42" s="20" t="s">
        <v>139</v>
      </c>
      <c r="C42" s="4">
        <f>'עוגני קריירה'!L49</f>
        <v>4</v>
      </c>
      <c r="D42" s="4">
        <f>IF('עוגני קריירה'!M49="נכון ביותר לגבי",4,0)</f>
        <v>0</v>
      </c>
      <c r="E42" s="4">
        <f t="shared" si="0"/>
        <v>4</v>
      </c>
      <c r="F42" s="4" t="s">
        <v>93</v>
      </c>
    </row>
  </sheetData>
  <mergeCells count="8">
    <mergeCell ref="T5:U5"/>
    <mergeCell ref="V5:W5"/>
    <mergeCell ref="H5:I5"/>
    <mergeCell ref="J5:K5"/>
    <mergeCell ref="L5:M5"/>
    <mergeCell ref="N5:O5"/>
    <mergeCell ref="P5:Q5"/>
    <mergeCell ref="R5:S5"/>
  </mergeCells>
  <pageMargins left="0.7" right="0.7" top="0.75" bottom="0.75" header="0.3" footer="0.3"/>
  <pageSetup paperSize="9" orientation="portrait" r:id="rId1"/>
  <ignoredErrors>
    <ignoredError sqref="B3:B4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vt:i4>
      </vt:variant>
      <vt:variant>
        <vt:lpstr>טווחים בעלי שם</vt:lpstr>
      </vt:variant>
      <vt:variant>
        <vt:i4>2</vt:i4>
      </vt:variant>
    </vt:vector>
  </HeadingPairs>
  <TitlesOfParts>
    <vt:vector size="5" baseType="lpstr">
      <vt:lpstr>עוגני קריירה</vt:lpstr>
      <vt:lpstr>סיכום</vt:lpstr>
      <vt:lpstr>חישוב ביניים</vt:lpstr>
      <vt:lpstr>סיכום!WPrint_Area_W</vt:lpstr>
      <vt:lpstr>'עוגני קריירה'!WPrint_Area_W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2025-07-13T14:52:39Z</dcterms:modified>
</cp:coreProperties>
</file>